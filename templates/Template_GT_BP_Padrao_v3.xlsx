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instrucoes" sheetId="1" state="visible" r:id="rId1"/>
    <sheet name="BP_GT" sheetId="2" state="visible" r:id="rId2"/>
    <sheet name="DRE_GT" sheetId="3" state="visible" r:id="rId3"/>
    <sheet name="_dados_padronizado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_-;-* #,##0_-;_-* &quot;-&quot;_-;_-@_-"/>
  </numFmts>
  <fonts count="15">
    <font>
      <name val="Calibri"/>
      <family val="2"/>
      <color theme="1"/>
      <sz val="11"/>
      <scheme val="minor"/>
    </font>
    <font>
      <name val="Century Gothic"/>
      <i val="1"/>
      <color rgb="00FF0000"/>
      <sz val="9"/>
    </font>
    <font>
      <name val="Century Gothic"/>
      <color rgb="004F2D7F"/>
      <sz val="16"/>
    </font>
    <font>
      <name val="Century Gothic"/>
      <i val="1"/>
      <color rgb="00595959"/>
      <sz val="9"/>
    </font>
    <font>
      <name val="Century Gothic"/>
      <b val="1"/>
      <color rgb="00FFFFFF"/>
      <sz val="10"/>
    </font>
    <font>
      <name val="Century Gothic"/>
      <b val="1"/>
      <color rgb="0000A7B5"/>
      <sz val="10"/>
    </font>
    <font>
      <name val="Century Gothic"/>
      <b val="1"/>
      <color rgb="004F2D7F"/>
      <sz val="10"/>
    </font>
    <font>
      <name val="Century Gothic"/>
      <color rgb="00000000"/>
      <sz val="10"/>
    </font>
    <font>
      <name val="Consolas"/>
      <color rgb="00595959"/>
      <sz val="9"/>
    </font>
    <font>
      <name val="Century Gothic"/>
      <color rgb="0000A7B5"/>
      <sz val="10"/>
    </font>
    <font>
      <name val="Century Gothic"/>
      <b val="1"/>
      <color rgb="0000B050"/>
      <sz val="10"/>
    </font>
    <font>
      <name val="Century Gothic"/>
      <b val="1"/>
      <color rgb="004F2D7F"/>
      <sz val="16"/>
    </font>
    <font>
      <name val="Century Gothic"/>
      <b val="1"/>
      <color rgb="00595959"/>
      <sz val="10"/>
    </font>
    <font>
      <name val="Century Gothic"/>
      <b val="1"/>
      <color rgb="004F2D7F"/>
      <sz val="13"/>
    </font>
    <font>
      <name val="Century Gothic"/>
      <b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4F2D7F"/>
      </patternFill>
    </fill>
    <fill>
      <patternFill patternType="solid">
        <fgColor rgb="00F2F0EE"/>
      </patternFill>
    </fill>
  </fills>
  <borders count="3">
    <border>
      <left/>
      <right/>
      <top/>
      <bottom/>
      <diagonal/>
    </border>
    <border>
      <left style="dashed">
        <color rgb="0000A7B5"/>
      </left>
      <right style="dashed">
        <color rgb="0000A7B5"/>
      </right>
      <top style="dashed">
        <color rgb="0000A7B5"/>
      </top>
      <bottom style="dashed">
        <color rgb="0000A7B5"/>
      </bottom>
    </border>
    <border>
      <top style="medium">
        <color rgb="004F2D7F"/>
      </top>
      <bottom style="medium">
        <color rgb="004F2D7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0" pivotButton="0" quotePrefix="0" xfId="0"/>
    <xf numFmtId="0" fontId="0" fillId="3" borderId="0" pivotButton="0" quotePrefix="0" xfId="0"/>
    <xf numFmtId="0" fontId="7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right" vertical="center"/>
    </xf>
    <xf numFmtId="0" fontId="6" fillId="3" borderId="2" pivotButton="0" quotePrefix="0" xfId="0"/>
    <xf numFmtId="0" fontId="0" fillId="3" borderId="2" pivotButton="0" quotePrefix="0" xfId="0"/>
    <xf numFmtId="164" fontId="6" fillId="3" borderId="2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1" t="inlineStr">
        <is>
          <t>TEMPLATE PADRÃO GT — BALANÇO PATRIMONIAL + DRE</t>
        </is>
      </c>
    </row>
    <row r="2" ht="18" customHeight="1">
      <c r="A2" s="2" t="inlineStr">
        <is>
          <t>Estrutura sintética para Valuation. Baseada nos agrupadores oficiais L100A / L300A (ECF).</t>
        </is>
      </c>
    </row>
    <row r="3" ht="18" customHeight="1">
      <c r="A3" s="3" t="inlineStr"/>
    </row>
    <row r="4" ht="24" customHeight="1">
      <c r="A4" s="4" t="inlineStr">
        <is>
          <t>COMO O PROGRAMA DEVE ALIMENTAR O TEMPLATE</t>
        </is>
      </c>
    </row>
    <row r="5" ht="18" customHeight="1">
      <c r="A5" s="3" t="inlineStr">
        <is>
          <t>1. Copie este arquivo antes de escrever qualquer coisa.</t>
        </is>
      </c>
    </row>
    <row r="6" ht="18" customHeight="1">
      <c r="A6" s="3" t="inlineStr">
        <is>
          <t>2. Escreva os dados extraídos APENAS na aba oculta '_dados_padronizados'.</t>
        </is>
      </c>
    </row>
    <row r="7" ht="18" customHeight="1">
      <c r="A7" s="3" t="inlineStr">
        <is>
          <t>3. Cada linha: código ECF do cliente + descrição + valores por ano.</t>
        </is>
      </c>
    </row>
    <row r="8" ht="18" customHeight="1">
      <c r="A8" s="3" t="inlineStr">
        <is>
          <t>4. Substitua '[NOME DO CLIENTE]' na célula B4 de BP_GT e DRE_GT.</t>
        </is>
      </c>
    </row>
    <row r="9" ht="18" customHeight="1">
      <c r="A9" s="3" t="inlineStr">
        <is>
          <t>5. Salve como novo arquivo. As fórmulas do template resolvem tudo.</t>
        </is>
      </c>
    </row>
    <row r="10" ht="18" customHeight="1">
      <c r="A10" s="3" t="inlineStr"/>
    </row>
    <row r="11" ht="24" customHeight="1">
      <c r="A11" s="4" t="inlineStr">
        <is>
          <t>COMO AS FÓRMULAS FUNCIONAM</t>
        </is>
      </c>
    </row>
    <row r="12" ht="18" customHeight="1">
      <c r="A12" s="3" t="inlineStr">
        <is>
          <t>As contas analíticas usam SUMIFS com WILDCARD sobre a coluna A de _dados_padronizados.</t>
        </is>
      </c>
    </row>
    <row r="13" ht="18" customHeight="1">
      <c r="A13" s="3" t="inlineStr">
        <is>
          <t>Uma linha como 'Contas a receber de clientes' (código 1.01.02.02) agrega TUDO que</t>
        </is>
      </c>
    </row>
    <row r="14" ht="18" customHeight="1">
      <c r="A14" s="3" t="inlineStr">
        <is>
          <t>começa com '1.01.02.02' — incluindo 1.01.02.02.01, .02, .03, etc.</t>
        </is>
      </c>
    </row>
    <row r="15" ht="18" customHeight="1">
      <c r="A15" s="3" t="inlineStr">
        <is>
          <t>Algumas linhas usam UNIÃO de códigos (separados por |), somando múltiplos prefixos.</t>
        </is>
      </c>
    </row>
    <row r="16" ht="18" customHeight="1">
      <c r="A16" s="3" t="inlineStr"/>
    </row>
    <row r="17" ht="24" customHeight="1">
      <c r="A17" s="4" t="inlineStr">
        <is>
          <t>REGRAS PARA O PARSER</t>
        </is>
      </c>
    </row>
    <row r="18" ht="18" customHeight="1">
      <c r="A18" s="3" t="inlineStr">
        <is>
          <t>• Códigos devem estar no formato oficial ECF (ex: 1.01.02.03.01)</t>
        </is>
      </c>
    </row>
    <row r="19" ht="18" customHeight="1">
      <c r="A19" s="3" t="inlineStr">
        <is>
          <t>• Sinais preservados: ativos e receitas positivos; passivos, custos e despesas negativos</t>
        </is>
      </c>
    </row>
    <row r="20" ht="18" customHeight="1">
      <c r="A20" s="3" t="inlineStr">
        <is>
          <t>• Valores em milhares de reais</t>
        </is>
      </c>
    </row>
    <row r="21" ht="18" customHeight="1">
      <c r="A21" s="3" t="inlineStr"/>
    </row>
    <row r="22" ht="24" customHeight="1">
      <c r="A22" s="4" t="inlineStr">
        <is>
          <t>BLOCOS DO TEMPLATE (BP_GT)</t>
        </is>
      </c>
    </row>
    <row r="23" ht="18" customHeight="1">
      <c r="A23" s="3" t="inlineStr">
        <is>
          <t>• Colunas D–H: Anos (2021, 2022, 2023, 2024, 2025) — preenchidos via SUMIFS</t>
        </is>
      </c>
    </row>
    <row r="24" ht="18" customHeight="1">
      <c r="A24" s="3" t="inlineStr">
        <is>
          <t>• Coluna I: Ajuste pro-forma — preenchimento manual pelo avaliador</t>
        </is>
      </c>
    </row>
    <row r="25" ht="18" customHeight="1">
      <c r="A25" s="3" t="inlineStr">
        <is>
          <t>• Coluna J: Ajustado = último ano + ajuste (fórmula)</t>
        </is>
      </c>
    </row>
    <row r="26" ht="18" customHeight="1">
      <c r="A26" s="3" t="inlineStr">
        <is>
          <t>• Coluna L: Classificação GT — Caixa/Dívida, Capital de Giro, Fluxo de Caixa, Não Op.</t>
        </is>
      </c>
    </row>
    <row r="27" ht="18" customHeight="1">
      <c r="A27" s="3" t="inlineStr">
        <is>
          <t>• Colunas N–O: Ajuste a Valor Justo (usar apenas em PPA)</t>
        </is>
      </c>
    </row>
    <row r="28" ht="18" customHeight="1">
      <c r="A28" s="3" t="inlineStr">
        <is>
          <t>• Coluna Q: Metodologia de Avaliação (Mercado, Renda, MPEEM, etc.)</t>
        </is>
      </c>
    </row>
    <row r="29" ht="18" customHeight="1">
      <c r="A29" s="3" t="inlineStr">
        <is>
          <t>• Coluna S: Para Copiar e Colar — resumo da classificação</t>
        </is>
      </c>
    </row>
    <row r="30" ht="18" customHeight="1">
      <c r="A30" s="3" t="inlineStr"/>
    </row>
    <row r="31" ht="18" customHeight="1">
      <c r="A31" s="5" t="inlineStr">
        <is>
          <t>PROJETO BP — Fernando Lisboa | GT Valuation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71" customWidth="1" min="1" max="1"/>
    <col width="47.71" customWidth="1" min="2" max="2"/>
    <col width="14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4" customWidth="1" min="9" max="9"/>
    <col width="15" customWidth="1" min="10" max="10"/>
    <col width="2.71" customWidth="1" min="11" max="11"/>
    <col width="25.5" customWidth="1" min="12" max="12"/>
    <col width="2.71" customWidth="1" min="13" max="13"/>
    <col width="15" customWidth="1" min="14" max="14"/>
    <col width="20" customWidth="1" min="15" max="15"/>
    <col width="2.71" customWidth="1" min="16" max="16"/>
    <col width="26.5" customWidth="1" min="17" max="17"/>
    <col width="2.71" customWidth="1" min="18" max="18"/>
    <col width="26" customWidth="1" min="19" max="19"/>
  </cols>
  <sheetData>
    <row r="1">
      <c r="N1" s="6" t="inlineStr">
        <is>
          <t>Utilizar apenas se for um PPA</t>
        </is>
      </c>
    </row>
    <row r="2"/>
    <row r="3"/>
    <row r="4">
      <c r="B4" s="7" t="inlineStr">
        <is>
          <t>[NOME DO CLIENTE]</t>
        </is>
      </c>
    </row>
    <row r="5"/>
    <row r="6">
      <c r="B6" s="8" t="inlineStr">
        <is>
          <t>Em milhares de reais</t>
        </is>
      </c>
    </row>
    <row r="7" ht="30" customHeight="1">
      <c r="B7" s="9" t="inlineStr">
        <is>
          <t>Balanço Patrimonial</t>
        </is>
      </c>
      <c r="C7" s="10" t="inlineStr">
        <is>
          <t>Código ECF</t>
        </is>
      </c>
      <c r="D7" s="10" t="inlineStr">
        <is>
          <t>2021</t>
        </is>
      </c>
      <c r="E7" s="10" t="inlineStr">
        <is>
          <t>2022</t>
        </is>
      </c>
      <c r="F7" s="10" t="inlineStr">
        <is>
          <t>2023</t>
        </is>
      </c>
      <c r="G7" s="10" t="inlineStr">
        <is>
          <t>2024</t>
        </is>
      </c>
      <c r="H7" s="10" t="inlineStr">
        <is>
          <t>2025</t>
        </is>
      </c>
      <c r="I7" s="10" t="inlineStr">
        <is>
          <t>Ajuste pro-forma</t>
        </is>
      </c>
      <c r="J7" s="10" t="inlineStr">
        <is>
          <t>Ajustado</t>
        </is>
      </c>
      <c r="L7" s="11" t="inlineStr">
        <is>
          <t>Classificação - GT</t>
        </is>
      </c>
      <c r="N7" s="10" t="inlineStr">
        <is>
          <t>Ajuste a Valor Justo</t>
        </is>
      </c>
      <c r="O7" s="10" t="inlineStr">
        <is>
          <t>Saldo a Valor Justo</t>
        </is>
      </c>
      <c r="Q7" s="11" t="inlineStr">
        <is>
          <t>Metodologia de Avaliação</t>
        </is>
      </c>
      <c r="S7" s="11" t="inlineStr">
        <is>
          <t>Para Copiar e Colar</t>
        </is>
      </c>
    </row>
    <row r="8">
      <c r="B8" s="12" t="inlineStr">
        <is>
          <t>ATIVO CIRCULANTE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L8" s="13" t="n"/>
      <c r="N8" s="13" t="n"/>
      <c r="O8" s="13" t="n"/>
      <c r="Q8" s="13" t="n"/>
      <c r="S8" s="13" t="n"/>
    </row>
    <row r="9">
      <c r="B9" s="14" t="inlineStr">
        <is>
          <t>Caixa e equivalentes de caixa</t>
        </is>
      </c>
      <c r="C9" s="15" t="inlineStr">
        <is>
          <t>1.01.01</t>
        </is>
      </c>
      <c r="D9" s="16">
        <f>IFERROR(SUMIFS(_dados_padronizados!C:C,_dados_padronizados!$A:$A,$C9&amp;"*"),0)</f>
        <v/>
      </c>
      <c r="E9" s="16">
        <f>IFERROR(SUMIFS(_dados_padronizados!D:D,_dados_padronizados!$A:$A,$C9&amp;"*"),0)</f>
        <v/>
      </c>
      <c r="F9" s="16">
        <f>IFERROR(SUMIFS(_dados_padronizados!E:E,_dados_padronizados!$A:$A,$C9&amp;"*"),0)</f>
        <v/>
      </c>
      <c r="G9" s="16">
        <f>IFERROR(SUMIFS(_dados_padronizados!F:F,_dados_padronizados!$A:$A,$C9&amp;"*"),0)</f>
        <v/>
      </c>
      <c r="H9" s="16">
        <f>IFERROR(SUMIFS(_dados_padronizados!G:G,_dados_padronizados!$A:$A,$C9&amp;"*"),0)</f>
        <v/>
      </c>
      <c r="I9" s="16" t="n"/>
      <c r="J9" s="16">
        <f>H9+I9</f>
        <v/>
      </c>
      <c r="L9" s="17" t="inlineStr">
        <is>
          <t>Caixa / Dívida</t>
        </is>
      </c>
      <c r="N9" s="16" t="n"/>
      <c r="O9" s="16">
        <f>J9+N9</f>
        <v/>
      </c>
      <c r="Q9" s="17" t="inlineStr"/>
      <c r="S9" s="17" t="inlineStr">
        <is>
          <t>Caixa / Dívida</t>
        </is>
      </c>
    </row>
    <row r="10">
      <c r="B10" s="14" t="inlineStr">
        <is>
          <t>Contas a receber de clientes</t>
        </is>
      </c>
      <c r="C10" s="15" t="inlineStr">
        <is>
          <t>1.01.02.02</t>
        </is>
      </c>
      <c r="D10" s="16">
        <f>IFERROR(SUMIFS(_dados_padronizados!C:C,_dados_padronizados!$A:$A,$C10&amp;"*"),0)</f>
        <v/>
      </c>
      <c r="E10" s="16">
        <f>IFERROR(SUMIFS(_dados_padronizados!D:D,_dados_padronizados!$A:$A,$C10&amp;"*"),0)</f>
        <v/>
      </c>
      <c r="F10" s="16">
        <f>IFERROR(SUMIFS(_dados_padronizados!E:E,_dados_padronizados!$A:$A,$C10&amp;"*"),0)</f>
        <v/>
      </c>
      <c r="G10" s="16">
        <f>IFERROR(SUMIFS(_dados_padronizados!F:F,_dados_padronizados!$A:$A,$C10&amp;"*"),0)</f>
        <v/>
      </c>
      <c r="H10" s="16">
        <f>IFERROR(SUMIFS(_dados_padronizados!G:G,_dados_padronizados!$A:$A,$C10&amp;"*"),0)</f>
        <v/>
      </c>
      <c r="I10" s="16" t="n"/>
      <c r="J10" s="16">
        <f>H10+I10</f>
        <v/>
      </c>
      <c r="L10" s="17" t="inlineStr">
        <is>
          <t>Capital de Giro</t>
        </is>
      </c>
      <c r="N10" s="16" t="n"/>
      <c r="O10" s="16">
        <f>J10+N10</f>
        <v/>
      </c>
      <c r="Q10" s="17" t="inlineStr"/>
      <c r="S10" s="17" t="inlineStr">
        <is>
          <t>Capital de Giro</t>
        </is>
      </c>
    </row>
    <row r="11">
      <c r="B11" s="14" t="inlineStr">
        <is>
          <t>Estoques</t>
        </is>
      </c>
      <c r="C11" s="15" t="inlineStr">
        <is>
          <t>1.01.03</t>
        </is>
      </c>
      <c r="D11" s="16">
        <f>IFERROR(SUMIFS(_dados_padronizados!C:C,_dados_padronizados!$A:$A,$C11&amp;"*"),0)</f>
        <v/>
      </c>
      <c r="E11" s="16">
        <f>IFERROR(SUMIFS(_dados_padronizados!D:D,_dados_padronizados!$A:$A,$C11&amp;"*"),0)</f>
        <v/>
      </c>
      <c r="F11" s="16">
        <f>IFERROR(SUMIFS(_dados_padronizados!E:E,_dados_padronizados!$A:$A,$C11&amp;"*"),0)</f>
        <v/>
      </c>
      <c r="G11" s="16">
        <f>IFERROR(SUMIFS(_dados_padronizados!F:F,_dados_padronizados!$A:$A,$C11&amp;"*"),0)</f>
        <v/>
      </c>
      <c r="H11" s="16">
        <f>IFERROR(SUMIFS(_dados_padronizados!G:G,_dados_padronizados!$A:$A,$C11&amp;"*"),0)</f>
        <v/>
      </c>
      <c r="I11" s="16" t="n"/>
      <c r="J11" s="16">
        <f>H11+I11</f>
        <v/>
      </c>
      <c r="L11" s="17" t="inlineStr">
        <is>
          <t>Capital de Giro</t>
        </is>
      </c>
      <c r="N11" s="16" t="n"/>
      <c r="O11" s="16">
        <f>J11+N11</f>
        <v/>
      </c>
      <c r="Q11" s="17" t="inlineStr"/>
      <c r="S11" s="17" t="inlineStr">
        <is>
          <t>Capital de Giro</t>
        </is>
      </c>
    </row>
    <row r="12">
      <c r="B12" s="14" t="inlineStr">
        <is>
          <t>Tributos a recuperar</t>
        </is>
      </c>
      <c r="C12" s="15" t="inlineStr">
        <is>
          <t>1.01.02.03</t>
        </is>
      </c>
      <c r="D12" s="16">
        <f>IFERROR(SUMIFS(_dados_padronizados!C:C,_dados_padronizados!$A:$A,$C12&amp;"*"),0)</f>
        <v/>
      </c>
      <c r="E12" s="16">
        <f>IFERROR(SUMIFS(_dados_padronizados!D:D,_dados_padronizados!$A:$A,$C12&amp;"*"),0)</f>
        <v/>
      </c>
      <c r="F12" s="16">
        <f>IFERROR(SUMIFS(_dados_padronizados!E:E,_dados_padronizados!$A:$A,$C12&amp;"*"),0)</f>
        <v/>
      </c>
      <c r="G12" s="16">
        <f>IFERROR(SUMIFS(_dados_padronizados!F:F,_dados_padronizados!$A:$A,$C12&amp;"*"),0)</f>
        <v/>
      </c>
      <c r="H12" s="16">
        <f>IFERROR(SUMIFS(_dados_padronizados!G:G,_dados_padronizados!$A:$A,$C12&amp;"*"),0)</f>
        <v/>
      </c>
      <c r="I12" s="16" t="n"/>
      <c r="J12" s="16">
        <f>H12+I12</f>
        <v/>
      </c>
      <c r="L12" s="17" t="inlineStr">
        <is>
          <t>Capital de Giro</t>
        </is>
      </c>
      <c r="N12" s="16" t="n"/>
      <c r="O12" s="16">
        <f>J12+N12</f>
        <v/>
      </c>
      <c r="Q12" s="17" t="inlineStr"/>
      <c r="S12" s="17" t="inlineStr">
        <is>
          <t>Capital de Giro</t>
        </is>
      </c>
    </row>
    <row r="13">
      <c r="B13" s="14" t="inlineStr">
        <is>
          <t>Adiantamentos e despesas antecipadas</t>
        </is>
      </c>
      <c r="C13" s="15" t="inlineStr">
        <is>
          <t>1.01.02.01</t>
        </is>
      </c>
      <c r="D13" s="16">
        <f>IFERROR(SUMIFS(_dados_padronizados!C:C,_dados_padronizados!$A:$A,$C13&amp;"*"),0)</f>
        <v/>
      </c>
      <c r="E13" s="16">
        <f>IFERROR(SUMIFS(_dados_padronizados!D:D,_dados_padronizados!$A:$A,$C13&amp;"*"),0)</f>
        <v/>
      </c>
      <c r="F13" s="16">
        <f>IFERROR(SUMIFS(_dados_padronizados!E:E,_dados_padronizados!$A:$A,$C13&amp;"*"),0)</f>
        <v/>
      </c>
      <c r="G13" s="16">
        <f>IFERROR(SUMIFS(_dados_padronizados!F:F,_dados_padronizados!$A:$A,$C13&amp;"*"),0)</f>
        <v/>
      </c>
      <c r="H13" s="16">
        <f>IFERROR(SUMIFS(_dados_padronizados!G:G,_dados_padronizados!$A:$A,$C13&amp;"*"),0)</f>
        <v/>
      </c>
      <c r="I13" s="16" t="n"/>
      <c r="J13" s="16">
        <f>H13+I13</f>
        <v/>
      </c>
      <c r="L13" s="17" t="inlineStr">
        <is>
          <t>Capital de Giro</t>
        </is>
      </c>
      <c r="N13" s="16" t="n"/>
      <c r="O13" s="16">
        <f>J13+N13</f>
        <v/>
      </c>
      <c r="Q13" s="17" t="inlineStr"/>
      <c r="S13" s="17" t="inlineStr">
        <is>
          <t>Capital de Giro</t>
        </is>
      </c>
    </row>
    <row r="14">
      <c r="B14" s="14" t="inlineStr">
        <is>
          <t>Outros ativos circulantes</t>
        </is>
      </c>
      <c r="C14" s="15" t="inlineStr">
        <is>
          <t>1.01.02.09</t>
        </is>
      </c>
      <c r="D14" s="16">
        <f>IFERROR(SUMIFS(_dados_padronizados!C:C,_dados_padronizados!$A:$A,$C14&amp;"*"),0)</f>
        <v/>
      </c>
      <c r="E14" s="16">
        <f>IFERROR(SUMIFS(_dados_padronizados!D:D,_dados_padronizados!$A:$A,$C14&amp;"*"),0)</f>
        <v/>
      </c>
      <c r="F14" s="16">
        <f>IFERROR(SUMIFS(_dados_padronizados!E:E,_dados_padronizados!$A:$A,$C14&amp;"*"),0)</f>
        <v/>
      </c>
      <c r="G14" s="16">
        <f>IFERROR(SUMIFS(_dados_padronizados!F:F,_dados_padronizados!$A:$A,$C14&amp;"*"),0)</f>
        <v/>
      </c>
      <c r="H14" s="16">
        <f>IFERROR(SUMIFS(_dados_padronizados!G:G,_dados_padronizados!$A:$A,$C14&amp;"*"),0)</f>
        <v/>
      </c>
      <c r="I14" s="16" t="n"/>
      <c r="J14" s="16">
        <f>H14+I14</f>
        <v/>
      </c>
      <c r="L14" s="17" t="inlineStr">
        <is>
          <t>Ativo / Passivo não Op.</t>
        </is>
      </c>
      <c r="N14" s="16" t="n"/>
      <c r="O14" s="16">
        <f>J14+N14</f>
        <v/>
      </c>
      <c r="Q14" s="17" t="inlineStr"/>
      <c r="S14" s="17" t="inlineStr">
        <is>
          <t>Ativo / Passivo não Op.</t>
        </is>
      </c>
    </row>
    <row r="15">
      <c r="B15" s="12" t="inlineStr">
        <is>
          <t>Total do Ativo Circulante</t>
        </is>
      </c>
      <c r="C15" s="13" t="n"/>
      <c r="D15" s="18">
        <f>SUM(D9:D14)</f>
        <v/>
      </c>
      <c r="E15" s="18">
        <f>SUM(E9:E14)</f>
        <v/>
      </c>
      <c r="F15" s="18">
        <f>SUM(F9:F14)</f>
        <v/>
      </c>
      <c r="G15" s="18">
        <f>SUM(G9:G14)</f>
        <v/>
      </c>
      <c r="H15" s="18">
        <f>SUM(H9:H14)</f>
        <v/>
      </c>
      <c r="I15" s="18">
        <f>SUM(I9:I14)</f>
        <v/>
      </c>
      <c r="J15" s="18">
        <f>H15+I15</f>
        <v/>
      </c>
      <c r="L15" s="13" t="n"/>
      <c r="N15" s="18">
        <f>SUM(N9:N14)</f>
        <v/>
      </c>
      <c r="O15" s="18">
        <f>J15+N15</f>
        <v/>
      </c>
      <c r="Q15" s="13" t="n"/>
      <c r="S15" s="13" t="n"/>
    </row>
    <row r="16"/>
    <row r="17">
      <c r="B17" s="12" t="inlineStr">
        <is>
          <t>ATIVO NÃO CIRCULANTE</t>
        </is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L17" s="13" t="n"/>
      <c r="N17" s="13" t="n"/>
      <c r="O17" s="13" t="n"/>
      <c r="Q17" s="13" t="n"/>
      <c r="S17" s="13" t="n"/>
    </row>
    <row r="18">
      <c r="B18" s="14" t="inlineStr">
        <is>
          <t>Contas a receber de longo prazo</t>
        </is>
      </c>
      <c r="C18" s="15" t="inlineStr">
        <is>
          <t>1.02.01.01</t>
        </is>
      </c>
      <c r="D18" s="16">
        <f>IFERROR(SUMIFS(_dados_padronizados!C:C,_dados_padronizados!$A:$A,$C18&amp;"*"),0)</f>
        <v/>
      </c>
      <c r="E18" s="16">
        <f>IFERROR(SUMIFS(_dados_padronizados!D:D,_dados_padronizados!$A:$A,$C18&amp;"*"),0)</f>
        <v/>
      </c>
      <c r="F18" s="16">
        <f>IFERROR(SUMIFS(_dados_padronizados!E:E,_dados_padronizados!$A:$A,$C18&amp;"*"),0)</f>
        <v/>
      </c>
      <c r="G18" s="16">
        <f>IFERROR(SUMIFS(_dados_padronizados!F:F,_dados_padronizados!$A:$A,$C18&amp;"*"),0)</f>
        <v/>
      </c>
      <c r="H18" s="16">
        <f>IFERROR(SUMIFS(_dados_padronizados!G:G,_dados_padronizados!$A:$A,$C18&amp;"*"),0)</f>
        <v/>
      </c>
      <c r="I18" s="16" t="n"/>
      <c r="J18" s="16">
        <f>H18+I18</f>
        <v/>
      </c>
      <c r="L18" s="17" t="inlineStr">
        <is>
          <t>Capital de Giro</t>
        </is>
      </c>
      <c r="N18" s="16" t="n"/>
      <c r="O18" s="16">
        <f>J18+N18</f>
        <v/>
      </c>
      <c r="Q18" s="17" t="inlineStr">
        <is>
          <t>Mercado</t>
        </is>
      </c>
      <c r="S18" s="17" t="inlineStr">
        <is>
          <t>Capital de Giro</t>
        </is>
      </c>
    </row>
    <row r="19">
      <c r="B19" s="14" t="inlineStr">
        <is>
          <t>Tributos e impostos diferidos</t>
        </is>
      </c>
      <c r="C19" s="15" t="inlineStr">
        <is>
          <t>1.02.01.05</t>
        </is>
      </c>
      <c r="D19" s="16">
        <f>IFERROR(SUMIFS(_dados_padronizados!C:C,_dados_padronizados!$A:$A,$C19&amp;"*"),0)</f>
        <v/>
      </c>
      <c r="E19" s="16">
        <f>IFERROR(SUMIFS(_dados_padronizados!D:D,_dados_padronizados!$A:$A,$C19&amp;"*"),0)</f>
        <v/>
      </c>
      <c r="F19" s="16">
        <f>IFERROR(SUMIFS(_dados_padronizados!E:E,_dados_padronizados!$A:$A,$C19&amp;"*"),0)</f>
        <v/>
      </c>
      <c r="G19" s="16">
        <f>IFERROR(SUMIFS(_dados_padronizados!F:F,_dados_padronizados!$A:$A,$C19&amp;"*"),0)</f>
        <v/>
      </c>
      <c r="H19" s="16">
        <f>IFERROR(SUMIFS(_dados_padronizados!G:G,_dados_padronizados!$A:$A,$C19&amp;"*"),0)</f>
        <v/>
      </c>
      <c r="I19" s="16" t="n"/>
      <c r="J19" s="16">
        <f>H19+I19</f>
        <v/>
      </c>
      <c r="L19" s="17" t="inlineStr">
        <is>
          <t>Ativo / Passivo não Op.</t>
        </is>
      </c>
      <c r="N19" s="16" t="n"/>
      <c r="O19" s="16">
        <f>J19+N19</f>
        <v/>
      </c>
      <c r="Q19" s="17" t="inlineStr">
        <is>
          <t>Mercado</t>
        </is>
      </c>
      <c r="S19" s="17" t="inlineStr">
        <is>
          <t>Ativo / Passivo não Op.</t>
        </is>
      </c>
    </row>
    <row r="20">
      <c r="B20" s="14" t="inlineStr">
        <is>
          <t>Investimentos</t>
        </is>
      </c>
      <c r="C20" s="15" t="inlineStr">
        <is>
          <t>1.02.02</t>
        </is>
      </c>
      <c r="D20" s="16">
        <f>IFERROR(SUMIFS(_dados_padronizados!C:C,_dados_padronizados!$A:$A,$C20&amp;"*"),0)</f>
        <v/>
      </c>
      <c r="E20" s="16">
        <f>IFERROR(SUMIFS(_dados_padronizados!D:D,_dados_padronizados!$A:$A,$C20&amp;"*"),0)</f>
        <v/>
      </c>
      <c r="F20" s="16">
        <f>IFERROR(SUMIFS(_dados_padronizados!E:E,_dados_padronizados!$A:$A,$C20&amp;"*"),0)</f>
        <v/>
      </c>
      <c r="G20" s="16">
        <f>IFERROR(SUMIFS(_dados_padronizados!F:F,_dados_padronizados!$A:$A,$C20&amp;"*"),0)</f>
        <v/>
      </c>
      <c r="H20" s="16">
        <f>IFERROR(SUMIFS(_dados_padronizados!G:G,_dados_padronizados!$A:$A,$C20&amp;"*"),0)</f>
        <v/>
      </c>
      <c r="I20" s="16" t="n"/>
      <c r="J20" s="16">
        <f>H20+I20</f>
        <v/>
      </c>
      <c r="L20" s="17" t="inlineStr">
        <is>
          <t>Ativo / Passivo não Op.</t>
        </is>
      </c>
      <c r="N20" s="16" t="n"/>
      <c r="O20" s="16">
        <f>J20+N20</f>
        <v/>
      </c>
      <c r="Q20" s="17" t="inlineStr">
        <is>
          <t>Mercado</t>
        </is>
      </c>
      <c r="S20" s="17" t="inlineStr">
        <is>
          <t>Ativo / Passivo não Op.</t>
        </is>
      </c>
    </row>
    <row r="21">
      <c r="B21" s="14" t="inlineStr">
        <is>
          <t>Imobilizado</t>
        </is>
      </c>
      <c r="C21" s="15" t="inlineStr">
        <is>
          <t>1.02.03</t>
        </is>
      </c>
      <c r="D21" s="16">
        <f>IFERROR(SUMIFS(_dados_padronizados!C:C,_dados_padronizados!$A:$A,$C21&amp;"*"),0)</f>
        <v/>
      </c>
      <c r="E21" s="16">
        <f>IFERROR(SUMIFS(_dados_padronizados!D:D,_dados_padronizados!$A:$A,$C21&amp;"*"),0)</f>
        <v/>
      </c>
      <c r="F21" s="16">
        <f>IFERROR(SUMIFS(_dados_padronizados!E:E,_dados_padronizados!$A:$A,$C21&amp;"*"),0)</f>
        <v/>
      </c>
      <c r="G21" s="16">
        <f>IFERROR(SUMIFS(_dados_padronizados!F:F,_dados_padronizados!$A:$A,$C21&amp;"*"),0)</f>
        <v/>
      </c>
      <c r="H21" s="16">
        <f>IFERROR(SUMIFS(_dados_padronizados!G:G,_dados_padronizados!$A:$A,$C21&amp;"*"),0)</f>
        <v/>
      </c>
      <c r="I21" s="16" t="n"/>
      <c r="J21" s="16">
        <f>H21+I21</f>
        <v/>
      </c>
      <c r="L21" s="17" t="inlineStr">
        <is>
          <t>Fluxo de Caixa</t>
        </is>
      </c>
      <c r="N21" s="16" t="n"/>
      <c r="O21" s="16">
        <f>J21+N21</f>
        <v/>
      </c>
      <c r="Q21" s="17" t="inlineStr">
        <is>
          <t>Mercado - Detalhado no Anexo</t>
        </is>
      </c>
      <c r="S21" s="17" t="inlineStr">
        <is>
          <t>Fluxo de Caixa</t>
        </is>
      </c>
    </row>
    <row r="22">
      <c r="B22" s="14" t="inlineStr">
        <is>
          <t>Intangível</t>
        </is>
      </c>
      <c r="C22" s="15" t="inlineStr">
        <is>
          <t>1.02.05</t>
        </is>
      </c>
      <c r="D22" s="16">
        <f>IFERROR(SUMIFS(_dados_padronizados!C:C,_dados_padronizados!$A:$A,$C22&amp;"*"),0)</f>
        <v/>
      </c>
      <c r="E22" s="16">
        <f>IFERROR(SUMIFS(_dados_padronizados!D:D,_dados_padronizados!$A:$A,$C22&amp;"*"),0)</f>
        <v/>
      </c>
      <c r="F22" s="16">
        <f>IFERROR(SUMIFS(_dados_padronizados!E:E,_dados_padronizados!$A:$A,$C22&amp;"*"),0)</f>
        <v/>
      </c>
      <c r="G22" s="16">
        <f>IFERROR(SUMIFS(_dados_padronizados!F:F,_dados_padronizados!$A:$A,$C22&amp;"*"),0)</f>
        <v/>
      </c>
      <c r="H22" s="16">
        <f>IFERROR(SUMIFS(_dados_padronizados!G:G,_dados_padronizados!$A:$A,$C22&amp;"*"),0)</f>
        <v/>
      </c>
      <c r="I22" s="16" t="n"/>
      <c r="J22" s="16">
        <f>H22+I22</f>
        <v/>
      </c>
      <c r="L22" s="17" t="inlineStr">
        <is>
          <t>Fluxo de Caixa</t>
        </is>
      </c>
      <c r="N22" s="16" t="n"/>
      <c r="O22" s="16">
        <f>J22+N22</f>
        <v/>
      </c>
      <c r="Q22" s="17" t="inlineStr">
        <is>
          <t>Renda - MPEEM</t>
        </is>
      </c>
      <c r="S22" s="17" t="inlineStr">
        <is>
          <t>Fluxo de Caixa</t>
        </is>
      </c>
    </row>
    <row r="23">
      <c r="B23" s="14" t="inlineStr">
        <is>
          <t>Outros ativos não circulantes</t>
        </is>
      </c>
      <c r="C23" s="15" t="inlineStr">
        <is>
          <t>1.02.01.15</t>
        </is>
      </c>
      <c r="D23" s="16">
        <f>IFERROR(SUMIFS(_dados_padronizados!C:C,_dados_padronizados!$A:$A,$C23&amp;"*"),0)</f>
        <v/>
      </c>
      <c r="E23" s="16">
        <f>IFERROR(SUMIFS(_dados_padronizados!D:D,_dados_padronizados!$A:$A,$C23&amp;"*"),0)</f>
        <v/>
      </c>
      <c r="F23" s="16">
        <f>IFERROR(SUMIFS(_dados_padronizados!E:E,_dados_padronizados!$A:$A,$C23&amp;"*"),0)</f>
        <v/>
      </c>
      <c r="G23" s="16">
        <f>IFERROR(SUMIFS(_dados_padronizados!F:F,_dados_padronizados!$A:$A,$C23&amp;"*"),0)</f>
        <v/>
      </c>
      <c r="H23" s="16">
        <f>IFERROR(SUMIFS(_dados_padronizados!G:G,_dados_padronizados!$A:$A,$C23&amp;"*"),0)</f>
        <v/>
      </c>
      <c r="I23" s="16" t="n"/>
      <c r="J23" s="16">
        <f>H23+I23</f>
        <v/>
      </c>
      <c r="L23" s="17" t="inlineStr">
        <is>
          <t>Ativo / Passivo não Op.</t>
        </is>
      </c>
      <c r="N23" s="16" t="n"/>
      <c r="O23" s="16">
        <f>J23+N23</f>
        <v/>
      </c>
      <c r="Q23" s="17" t="inlineStr">
        <is>
          <t>Mercado</t>
        </is>
      </c>
      <c r="S23" s="17" t="inlineStr">
        <is>
          <t>Ativo / Passivo não Op.</t>
        </is>
      </c>
    </row>
    <row r="24">
      <c r="B24" s="12" t="inlineStr">
        <is>
          <t>Total do Ativo Não Circulante</t>
        </is>
      </c>
      <c r="C24" s="13" t="n"/>
      <c r="D24" s="18">
        <f>SUM(D18:D23)</f>
        <v/>
      </c>
      <c r="E24" s="18">
        <f>SUM(E18:E23)</f>
        <v/>
      </c>
      <c r="F24" s="18">
        <f>SUM(F18:F23)</f>
        <v/>
      </c>
      <c r="G24" s="18">
        <f>SUM(G18:G23)</f>
        <v/>
      </c>
      <c r="H24" s="18">
        <f>SUM(H18:H23)</f>
        <v/>
      </c>
      <c r="I24" s="18">
        <f>SUM(I18:I23)</f>
        <v/>
      </c>
      <c r="J24" s="18">
        <f>H24+I24</f>
        <v/>
      </c>
      <c r="L24" s="13" t="n"/>
      <c r="N24" s="18">
        <f>SUM(N18:N23)</f>
        <v/>
      </c>
      <c r="O24" s="18">
        <f>J24+N24</f>
        <v/>
      </c>
      <c r="Q24" s="13" t="n"/>
      <c r="S24" s="13" t="n"/>
    </row>
    <row r="25"/>
    <row r="26">
      <c r="B26" s="19" t="inlineStr">
        <is>
          <t>ATIVO TOTAL</t>
        </is>
      </c>
      <c r="C26" s="20" t="n"/>
      <c r="D26" s="21">
        <f>D15+D24</f>
        <v/>
      </c>
      <c r="E26" s="21">
        <f>E15+E24</f>
        <v/>
      </c>
      <c r="F26" s="21">
        <f>F15+F24</f>
        <v/>
      </c>
      <c r="G26" s="21">
        <f>G15+G24</f>
        <v/>
      </c>
      <c r="H26" s="21">
        <f>H15+H24</f>
        <v/>
      </c>
      <c r="I26" s="21">
        <f>I15+I24</f>
        <v/>
      </c>
      <c r="J26" s="21">
        <f>H26+I26</f>
        <v/>
      </c>
      <c r="L26" s="20" t="n"/>
      <c r="N26" s="21">
        <f>N15+N24</f>
        <v/>
      </c>
      <c r="O26" s="21">
        <f>J26+N26</f>
        <v/>
      </c>
      <c r="Q26" s="20" t="n"/>
      <c r="S26" s="20" t="n"/>
    </row>
    <row r="27"/>
    <row r="28">
      <c r="B28" s="12" t="inlineStr">
        <is>
          <t>PASSIVO CIRCULANTE</t>
        </is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L28" s="13" t="n"/>
      <c r="N28" s="13" t="n"/>
      <c r="O28" s="13" t="n"/>
      <c r="Q28" s="13" t="n"/>
      <c r="S28" s="13" t="n"/>
    </row>
    <row r="29">
      <c r="B29" s="14" t="inlineStr">
        <is>
          <t>Fornecedores</t>
        </is>
      </c>
      <c r="C29" s="15" t="inlineStr">
        <is>
          <t>2.01.01.03</t>
        </is>
      </c>
      <c r="D29" s="16">
        <f>IFERROR(SUMIFS(_dados_padronizados!C:C,_dados_padronizados!$A:$A,$C29&amp;"*"),0)</f>
        <v/>
      </c>
      <c r="E29" s="16">
        <f>IFERROR(SUMIFS(_dados_padronizados!D:D,_dados_padronizados!$A:$A,$C29&amp;"*"),0)</f>
        <v/>
      </c>
      <c r="F29" s="16">
        <f>IFERROR(SUMIFS(_dados_padronizados!E:E,_dados_padronizados!$A:$A,$C29&amp;"*"),0)</f>
        <v/>
      </c>
      <c r="G29" s="16">
        <f>IFERROR(SUMIFS(_dados_padronizados!F:F,_dados_padronizados!$A:$A,$C29&amp;"*"),0)</f>
        <v/>
      </c>
      <c r="H29" s="16">
        <f>IFERROR(SUMIFS(_dados_padronizados!G:G,_dados_padronizados!$A:$A,$C29&amp;"*"),0)</f>
        <v/>
      </c>
      <c r="I29" s="16" t="n"/>
      <c r="J29" s="16">
        <f>H29+I29</f>
        <v/>
      </c>
      <c r="L29" s="17" t="inlineStr">
        <is>
          <t>Capital de Giro</t>
        </is>
      </c>
      <c r="N29" s="16" t="n"/>
      <c r="O29" s="16">
        <f>J29+N29</f>
        <v/>
      </c>
      <c r="Q29" s="17" t="inlineStr"/>
      <c r="S29" s="17" t="inlineStr">
        <is>
          <t>Capital de Giro</t>
        </is>
      </c>
    </row>
    <row r="30">
      <c r="B30" s="14" t="inlineStr">
        <is>
          <t>Empréstimos e financiamentos - CP</t>
        </is>
      </c>
      <c r="C30" s="15" t="inlineStr">
        <is>
          <t>2.01.01.07</t>
        </is>
      </c>
      <c r="D30" s="16">
        <f>IFERROR(SUMIFS(_dados_padronizados!C:C,_dados_padronizados!$A:$A,$C30&amp;"*"),0)</f>
        <v/>
      </c>
      <c r="E30" s="16">
        <f>IFERROR(SUMIFS(_dados_padronizados!D:D,_dados_padronizados!$A:$A,$C30&amp;"*"),0)</f>
        <v/>
      </c>
      <c r="F30" s="16">
        <f>IFERROR(SUMIFS(_dados_padronizados!E:E,_dados_padronizados!$A:$A,$C30&amp;"*"),0)</f>
        <v/>
      </c>
      <c r="G30" s="16">
        <f>IFERROR(SUMIFS(_dados_padronizados!F:F,_dados_padronizados!$A:$A,$C30&amp;"*"),0)</f>
        <v/>
      </c>
      <c r="H30" s="16">
        <f>IFERROR(SUMIFS(_dados_padronizados!G:G,_dados_padronizados!$A:$A,$C30&amp;"*"),0)</f>
        <v/>
      </c>
      <c r="I30" s="16" t="n"/>
      <c r="J30" s="16">
        <f>H30+I30</f>
        <v/>
      </c>
      <c r="L30" s="17" t="inlineStr">
        <is>
          <t>Caixa / Dívida</t>
        </is>
      </c>
      <c r="N30" s="16" t="n"/>
      <c r="O30" s="16">
        <f>J30+N30</f>
        <v/>
      </c>
      <c r="Q30" s="17" t="inlineStr"/>
      <c r="S30" s="17" t="inlineStr">
        <is>
          <t>Caixa / Dívida</t>
        </is>
      </c>
    </row>
    <row r="31">
      <c r="B31" s="14" t="inlineStr">
        <is>
          <t>Obrigações trabalhistas e sociais</t>
        </is>
      </c>
      <c r="C31" s="15" t="inlineStr">
        <is>
          <t>2.01.01.01</t>
        </is>
      </c>
      <c r="D31" s="16">
        <f>IFERROR(SUMIFS(_dados_padronizados!C:C,_dados_padronizados!$A:$A,$C31&amp;"*"),0)</f>
        <v/>
      </c>
      <c r="E31" s="16">
        <f>IFERROR(SUMIFS(_dados_padronizados!D:D,_dados_padronizados!$A:$A,$C31&amp;"*"),0)</f>
        <v/>
      </c>
      <c r="F31" s="16">
        <f>IFERROR(SUMIFS(_dados_padronizados!E:E,_dados_padronizados!$A:$A,$C31&amp;"*"),0)</f>
        <v/>
      </c>
      <c r="G31" s="16">
        <f>IFERROR(SUMIFS(_dados_padronizados!F:F,_dados_padronizados!$A:$A,$C31&amp;"*"),0)</f>
        <v/>
      </c>
      <c r="H31" s="16">
        <f>IFERROR(SUMIFS(_dados_padronizados!G:G,_dados_padronizados!$A:$A,$C31&amp;"*"),0)</f>
        <v/>
      </c>
      <c r="I31" s="16" t="n"/>
      <c r="J31" s="16">
        <f>H31+I31</f>
        <v/>
      </c>
      <c r="L31" s="17" t="inlineStr">
        <is>
          <t>Capital de Giro</t>
        </is>
      </c>
      <c r="N31" s="16" t="n"/>
      <c r="O31" s="16">
        <f>J31+N31</f>
        <v/>
      </c>
      <c r="Q31" s="17" t="inlineStr"/>
      <c r="S31" s="17" t="inlineStr">
        <is>
          <t>Capital de Giro</t>
        </is>
      </c>
    </row>
    <row r="32">
      <c r="B32" s="14" t="inlineStr">
        <is>
          <t>Obrigações tributárias</t>
        </is>
      </c>
      <c r="C32" s="15" t="inlineStr">
        <is>
          <t>2.01.01.09</t>
        </is>
      </c>
      <c r="D32" s="16">
        <f>IFERROR(SUMIFS(_dados_padronizados!C:C,_dados_padronizados!$A:$A,$C32&amp;"*"),0)</f>
        <v/>
      </c>
      <c r="E32" s="16">
        <f>IFERROR(SUMIFS(_dados_padronizados!D:D,_dados_padronizados!$A:$A,$C32&amp;"*"),0)</f>
        <v/>
      </c>
      <c r="F32" s="16">
        <f>IFERROR(SUMIFS(_dados_padronizados!E:E,_dados_padronizados!$A:$A,$C32&amp;"*"),0)</f>
        <v/>
      </c>
      <c r="G32" s="16">
        <f>IFERROR(SUMIFS(_dados_padronizados!F:F,_dados_padronizados!$A:$A,$C32&amp;"*"),0)</f>
        <v/>
      </c>
      <c r="H32" s="16">
        <f>IFERROR(SUMIFS(_dados_padronizados!G:G,_dados_padronizados!$A:$A,$C32&amp;"*"),0)</f>
        <v/>
      </c>
      <c r="I32" s="16" t="n"/>
      <c r="J32" s="16">
        <f>H32+I32</f>
        <v/>
      </c>
      <c r="L32" s="17" t="inlineStr">
        <is>
          <t>Capital de Giro</t>
        </is>
      </c>
      <c r="N32" s="16" t="n"/>
      <c r="O32" s="16">
        <f>J32+N32</f>
        <v/>
      </c>
      <c r="Q32" s="17" t="inlineStr"/>
      <c r="S32" s="17" t="inlineStr">
        <is>
          <t>Capital de Giro</t>
        </is>
      </c>
    </row>
    <row r="33">
      <c r="B33" s="14" t="inlineStr">
        <is>
          <t>Contas a pagar e outras obrigações</t>
        </is>
      </c>
      <c r="C33" s="15" t="inlineStr">
        <is>
          <t>2.01.01.05</t>
        </is>
      </c>
      <c r="D33" s="16">
        <f>IFERROR(SUMIFS(_dados_padronizados!C:C,_dados_padronizados!$A:$A,$C33&amp;"*"),0)</f>
        <v/>
      </c>
      <c r="E33" s="16">
        <f>IFERROR(SUMIFS(_dados_padronizados!D:D,_dados_padronizados!$A:$A,$C33&amp;"*"),0)</f>
        <v/>
      </c>
      <c r="F33" s="16">
        <f>IFERROR(SUMIFS(_dados_padronizados!E:E,_dados_padronizados!$A:$A,$C33&amp;"*"),0)</f>
        <v/>
      </c>
      <c r="G33" s="16">
        <f>IFERROR(SUMIFS(_dados_padronizados!F:F,_dados_padronizados!$A:$A,$C33&amp;"*"),0)</f>
        <v/>
      </c>
      <c r="H33" s="16">
        <f>IFERROR(SUMIFS(_dados_padronizados!G:G,_dados_padronizados!$A:$A,$C33&amp;"*"),0)</f>
        <v/>
      </c>
      <c r="I33" s="16" t="n"/>
      <c r="J33" s="16">
        <f>H33+I33</f>
        <v/>
      </c>
      <c r="L33" s="17" t="inlineStr">
        <is>
          <t>Capital de Giro</t>
        </is>
      </c>
      <c r="N33" s="16" t="n"/>
      <c r="O33" s="16">
        <f>J33+N33</f>
        <v/>
      </c>
      <c r="Q33" s="17" t="inlineStr"/>
      <c r="S33" s="17" t="inlineStr">
        <is>
          <t>Capital de Giro</t>
        </is>
      </c>
    </row>
    <row r="34">
      <c r="B34" s="14" t="inlineStr">
        <is>
          <t>Provisões - CP</t>
        </is>
      </c>
      <c r="C34" s="15" t="inlineStr">
        <is>
          <t>2.01.01.15</t>
        </is>
      </c>
      <c r="D34" s="16">
        <f>IFERROR(SUMIFS(_dados_padronizados!C:C,_dados_padronizados!$A:$A,$C34&amp;"*"),0)</f>
        <v/>
      </c>
      <c r="E34" s="16">
        <f>IFERROR(SUMIFS(_dados_padronizados!D:D,_dados_padronizados!$A:$A,$C34&amp;"*"),0)</f>
        <v/>
      </c>
      <c r="F34" s="16">
        <f>IFERROR(SUMIFS(_dados_padronizados!E:E,_dados_padronizados!$A:$A,$C34&amp;"*"),0)</f>
        <v/>
      </c>
      <c r="G34" s="16">
        <f>IFERROR(SUMIFS(_dados_padronizados!F:F,_dados_padronizados!$A:$A,$C34&amp;"*"),0)</f>
        <v/>
      </c>
      <c r="H34" s="16">
        <f>IFERROR(SUMIFS(_dados_padronizados!G:G,_dados_padronizados!$A:$A,$C34&amp;"*"),0)</f>
        <v/>
      </c>
      <c r="I34" s="16" t="n"/>
      <c r="J34" s="16">
        <f>H34+I34</f>
        <v/>
      </c>
      <c r="L34" s="17" t="inlineStr">
        <is>
          <t>Ativo / Passivo não Op.</t>
        </is>
      </c>
      <c r="N34" s="16" t="n"/>
      <c r="O34" s="16">
        <f>J34+N34</f>
        <v/>
      </c>
      <c r="Q34" s="17" t="inlineStr"/>
      <c r="S34" s="17" t="inlineStr">
        <is>
          <t>Ativo / Passivo não Op.</t>
        </is>
      </c>
    </row>
    <row r="35">
      <c r="B35" s="12" t="inlineStr">
        <is>
          <t>Total do Passivo Circulante</t>
        </is>
      </c>
      <c r="C35" s="13" t="n"/>
      <c r="D35" s="18">
        <f>SUM(D29:D34)</f>
        <v/>
      </c>
      <c r="E35" s="18">
        <f>SUM(E29:E34)</f>
        <v/>
      </c>
      <c r="F35" s="18">
        <f>SUM(F29:F34)</f>
        <v/>
      </c>
      <c r="G35" s="18">
        <f>SUM(G29:G34)</f>
        <v/>
      </c>
      <c r="H35" s="18">
        <f>SUM(H29:H34)</f>
        <v/>
      </c>
      <c r="I35" s="18">
        <f>SUM(I29:I34)</f>
        <v/>
      </c>
      <c r="J35" s="18">
        <f>H35+I35</f>
        <v/>
      </c>
      <c r="L35" s="13" t="n"/>
      <c r="N35" s="18">
        <f>SUM(N29:N34)</f>
        <v/>
      </c>
      <c r="O35" s="18">
        <f>J35+N35</f>
        <v/>
      </c>
      <c r="Q35" s="13" t="n"/>
      <c r="S35" s="13" t="n"/>
    </row>
    <row r="36"/>
    <row r="37">
      <c r="B37" s="12" t="inlineStr">
        <is>
          <t>PASSIVO NÃO CIRCULANTE</t>
        </is>
      </c>
      <c r="C37" s="13" t="n"/>
      <c r="D37" s="13" t="n"/>
      <c r="E37" s="13" t="n"/>
      <c r="F37" s="13" t="n"/>
      <c r="G37" s="13" t="n"/>
      <c r="H37" s="13" t="n"/>
      <c r="I37" s="13" t="n"/>
      <c r="J37" s="13" t="n"/>
      <c r="L37" s="13" t="n"/>
      <c r="N37" s="13" t="n"/>
      <c r="O37" s="13" t="n"/>
      <c r="Q37" s="13" t="n"/>
      <c r="S37" s="13" t="n"/>
    </row>
    <row r="38">
      <c r="B38" s="14" t="inlineStr">
        <is>
          <t>Empréstimos e financiamentos - LP</t>
        </is>
      </c>
      <c r="C38" s="15" t="inlineStr">
        <is>
          <t>2.02.01.01</t>
        </is>
      </c>
      <c r="D38" s="16">
        <f>IFERROR(SUMIFS(_dados_padronizados!C:C,_dados_padronizados!$A:$A,$C38&amp;"*"),0)</f>
        <v/>
      </c>
      <c r="E38" s="16">
        <f>IFERROR(SUMIFS(_dados_padronizados!D:D,_dados_padronizados!$A:$A,$C38&amp;"*"),0)</f>
        <v/>
      </c>
      <c r="F38" s="16">
        <f>IFERROR(SUMIFS(_dados_padronizados!E:E,_dados_padronizados!$A:$A,$C38&amp;"*"),0)</f>
        <v/>
      </c>
      <c r="G38" s="16">
        <f>IFERROR(SUMIFS(_dados_padronizados!F:F,_dados_padronizados!$A:$A,$C38&amp;"*"),0)</f>
        <v/>
      </c>
      <c r="H38" s="16">
        <f>IFERROR(SUMIFS(_dados_padronizados!G:G,_dados_padronizados!$A:$A,$C38&amp;"*"),0)</f>
        <v/>
      </c>
      <c r="I38" s="16" t="n"/>
      <c r="J38" s="16">
        <f>H38+I38</f>
        <v/>
      </c>
      <c r="L38" s="17" t="inlineStr">
        <is>
          <t>Caixa / Dívida</t>
        </is>
      </c>
      <c r="N38" s="16" t="n"/>
      <c r="O38" s="16">
        <f>J38+N38</f>
        <v/>
      </c>
      <c r="Q38" s="17" t="inlineStr"/>
      <c r="S38" s="17" t="inlineStr">
        <is>
          <t>Caixa / Dívida</t>
        </is>
      </c>
    </row>
    <row r="39">
      <c r="B39" s="14" t="inlineStr">
        <is>
          <t>Tributos e impostos diferidos</t>
        </is>
      </c>
      <c r="C39" s="15" t="inlineStr">
        <is>
          <t>2.02.01.05</t>
        </is>
      </c>
      <c r="D39" s="16">
        <f>IFERROR(SUMIFS(_dados_padronizados!C:C,_dados_padronizados!$A:$A,$C39&amp;"*"),0)</f>
        <v/>
      </c>
      <c r="E39" s="16">
        <f>IFERROR(SUMIFS(_dados_padronizados!D:D,_dados_padronizados!$A:$A,$C39&amp;"*"),0)</f>
        <v/>
      </c>
      <c r="F39" s="16">
        <f>IFERROR(SUMIFS(_dados_padronizados!E:E,_dados_padronizados!$A:$A,$C39&amp;"*"),0)</f>
        <v/>
      </c>
      <c r="G39" s="16">
        <f>IFERROR(SUMIFS(_dados_padronizados!F:F,_dados_padronizados!$A:$A,$C39&amp;"*"),0)</f>
        <v/>
      </c>
      <c r="H39" s="16">
        <f>IFERROR(SUMIFS(_dados_padronizados!G:G,_dados_padronizados!$A:$A,$C39&amp;"*"),0)</f>
        <v/>
      </c>
      <c r="I39" s="16" t="n"/>
      <c r="J39" s="16">
        <f>H39+I39</f>
        <v/>
      </c>
      <c r="L39" s="17" t="inlineStr">
        <is>
          <t>Ativo / Passivo não Op.</t>
        </is>
      </c>
      <c r="N39" s="16" t="n"/>
      <c r="O39" s="16">
        <f>J39+N39</f>
        <v/>
      </c>
      <c r="Q39" s="17" t="inlineStr"/>
      <c r="S39" s="17" t="inlineStr">
        <is>
          <t>Ativo / Passivo não Op.</t>
        </is>
      </c>
    </row>
    <row r="40">
      <c r="B40" s="14" t="inlineStr">
        <is>
          <t>Provisões - LP</t>
        </is>
      </c>
      <c r="C40" s="15" t="inlineStr">
        <is>
          <t>2.02.01.09</t>
        </is>
      </c>
      <c r="D40" s="16">
        <f>IFERROR(SUMIFS(_dados_padronizados!C:C,_dados_padronizados!$A:$A,$C40&amp;"*"),0)</f>
        <v/>
      </c>
      <c r="E40" s="16">
        <f>IFERROR(SUMIFS(_dados_padronizados!D:D,_dados_padronizados!$A:$A,$C40&amp;"*"),0)</f>
        <v/>
      </c>
      <c r="F40" s="16">
        <f>IFERROR(SUMIFS(_dados_padronizados!E:E,_dados_padronizados!$A:$A,$C40&amp;"*"),0)</f>
        <v/>
      </c>
      <c r="G40" s="16">
        <f>IFERROR(SUMIFS(_dados_padronizados!F:F,_dados_padronizados!$A:$A,$C40&amp;"*"),0)</f>
        <v/>
      </c>
      <c r="H40" s="16">
        <f>IFERROR(SUMIFS(_dados_padronizados!G:G,_dados_padronizados!$A:$A,$C40&amp;"*"),0)</f>
        <v/>
      </c>
      <c r="I40" s="16" t="n"/>
      <c r="J40" s="16">
        <f>H40+I40</f>
        <v/>
      </c>
      <c r="L40" s="17" t="inlineStr">
        <is>
          <t>Ativo / Passivo não Op.</t>
        </is>
      </c>
      <c r="N40" s="16" t="n"/>
      <c r="O40" s="16">
        <f>J40+N40</f>
        <v/>
      </c>
      <c r="Q40" s="17" t="inlineStr"/>
      <c r="S40" s="17" t="inlineStr">
        <is>
          <t>Ativo / Passivo não Op.</t>
        </is>
      </c>
    </row>
    <row r="41">
      <c r="B41" s="14" t="inlineStr">
        <is>
          <t>Obrigações com partes relacionadas</t>
        </is>
      </c>
      <c r="C41" s="15" t="inlineStr">
        <is>
          <t>2.02.01.11</t>
        </is>
      </c>
      <c r="D41" s="16">
        <f>IFERROR(SUMIFS(_dados_padronizados!C:C,_dados_padronizados!$A:$A,$C41&amp;"*"),0)</f>
        <v/>
      </c>
      <c r="E41" s="16">
        <f>IFERROR(SUMIFS(_dados_padronizados!D:D,_dados_padronizados!$A:$A,$C41&amp;"*"),0)</f>
        <v/>
      </c>
      <c r="F41" s="16">
        <f>IFERROR(SUMIFS(_dados_padronizados!E:E,_dados_padronizados!$A:$A,$C41&amp;"*"),0)</f>
        <v/>
      </c>
      <c r="G41" s="16">
        <f>IFERROR(SUMIFS(_dados_padronizados!F:F,_dados_padronizados!$A:$A,$C41&amp;"*"),0)</f>
        <v/>
      </c>
      <c r="H41" s="16">
        <f>IFERROR(SUMIFS(_dados_padronizados!G:G,_dados_padronizados!$A:$A,$C41&amp;"*"),0)</f>
        <v/>
      </c>
      <c r="I41" s="16" t="n"/>
      <c r="J41" s="16">
        <f>H41+I41</f>
        <v/>
      </c>
      <c r="L41" s="17" t="inlineStr">
        <is>
          <t>Ativo / Passivo não Op.</t>
        </is>
      </c>
      <c r="N41" s="16" t="n"/>
      <c r="O41" s="16">
        <f>J41+N41</f>
        <v/>
      </c>
      <c r="Q41" s="17" t="inlineStr"/>
      <c r="S41" s="17" t="inlineStr">
        <is>
          <t>Ativo / Passivo não Op.</t>
        </is>
      </c>
    </row>
    <row r="42">
      <c r="B42" s="14" t="inlineStr">
        <is>
          <t>Outras obrigações de longo prazo</t>
        </is>
      </c>
      <c r="C42" s="15" t="inlineStr">
        <is>
          <t>2.02.01.21</t>
        </is>
      </c>
      <c r="D42" s="16">
        <f>IFERROR(SUMIFS(_dados_padronizados!C:C,_dados_padronizados!$A:$A,$C42&amp;"*"),0)</f>
        <v/>
      </c>
      <c r="E42" s="16">
        <f>IFERROR(SUMIFS(_dados_padronizados!D:D,_dados_padronizados!$A:$A,$C42&amp;"*"),0)</f>
        <v/>
      </c>
      <c r="F42" s="16">
        <f>IFERROR(SUMIFS(_dados_padronizados!E:E,_dados_padronizados!$A:$A,$C42&amp;"*"),0)</f>
        <v/>
      </c>
      <c r="G42" s="16">
        <f>IFERROR(SUMIFS(_dados_padronizados!F:F,_dados_padronizados!$A:$A,$C42&amp;"*"),0)</f>
        <v/>
      </c>
      <c r="H42" s="16">
        <f>IFERROR(SUMIFS(_dados_padronizados!G:G,_dados_padronizados!$A:$A,$C42&amp;"*"),0)</f>
        <v/>
      </c>
      <c r="I42" s="16" t="n"/>
      <c r="J42" s="16">
        <f>H42+I42</f>
        <v/>
      </c>
      <c r="L42" s="17" t="inlineStr">
        <is>
          <t>Ativo / Passivo não Op.</t>
        </is>
      </c>
      <c r="N42" s="16" t="n"/>
      <c r="O42" s="16">
        <f>J42+N42</f>
        <v/>
      </c>
      <c r="Q42" s="17" t="inlineStr"/>
      <c r="S42" s="17" t="inlineStr">
        <is>
          <t>Ativo / Passivo não Op.</t>
        </is>
      </c>
    </row>
    <row r="43">
      <c r="B43" s="12" t="inlineStr">
        <is>
          <t>Total do Passivo Não Circulante</t>
        </is>
      </c>
      <c r="C43" s="13" t="n"/>
      <c r="D43" s="18">
        <f>SUM(D38:D42)</f>
        <v/>
      </c>
      <c r="E43" s="18">
        <f>SUM(E38:E42)</f>
        <v/>
      </c>
      <c r="F43" s="18">
        <f>SUM(F38:F42)</f>
        <v/>
      </c>
      <c r="G43" s="18">
        <f>SUM(G38:G42)</f>
        <v/>
      </c>
      <c r="H43" s="18">
        <f>SUM(H38:H42)</f>
        <v/>
      </c>
      <c r="I43" s="18">
        <f>SUM(I38:I42)</f>
        <v/>
      </c>
      <c r="J43" s="18">
        <f>H43+I43</f>
        <v/>
      </c>
      <c r="L43" s="13" t="n"/>
      <c r="N43" s="18">
        <f>SUM(N38:N42)</f>
        <v/>
      </c>
      <c r="O43" s="18">
        <f>J43+N43</f>
        <v/>
      </c>
      <c r="Q43" s="13" t="n"/>
      <c r="S43" s="13" t="n"/>
    </row>
    <row r="44"/>
    <row r="45">
      <c r="B45" s="12" t="inlineStr">
        <is>
          <t>PATRIMÔNIO LÍQUIDO</t>
        </is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L45" s="13" t="n"/>
      <c r="N45" s="13" t="n"/>
      <c r="O45" s="13" t="n"/>
      <c r="Q45" s="13" t="n"/>
      <c r="S45" s="13" t="n"/>
    </row>
    <row r="46">
      <c r="B46" s="14" t="inlineStr">
        <is>
          <t>Capital social</t>
        </is>
      </c>
      <c r="C46" s="15" t="inlineStr">
        <is>
          <t>2.03.01</t>
        </is>
      </c>
      <c r="D46" s="16">
        <f>IFERROR(SUMIFS(_dados_padronizados!C:C,_dados_padronizados!$A:$A,$C46&amp;"*"),0)</f>
        <v/>
      </c>
      <c r="E46" s="16">
        <f>IFERROR(SUMIFS(_dados_padronizados!D:D,_dados_padronizados!$A:$A,$C46&amp;"*"),0)</f>
        <v/>
      </c>
      <c r="F46" s="16">
        <f>IFERROR(SUMIFS(_dados_padronizados!E:E,_dados_padronizados!$A:$A,$C46&amp;"*"),0)</f>
        <v/>
      </c>
      <c r="G46" s="16">
        <f>IFERROR(SUMIFS(_dados_padronizados!F:F,_dados_padronizados!$A:$A,$C46&amp;"*"),0)</f>
        <v/>
      </c>
      <c r="H46" s="16">
        <f>IFERROR(SUMIFS(_dados_padronizados!G:G,_dados_padronizados!$A:$A,$C46&amp;"*"),0)</f>
        <v/>
      </c>
      <c r="I46" s="16" t="n"/>
      <c r="J46" s="16">
        <f>H46+I46</f>
        <v/>
      </c>
      <c r="L46" s="17" t="inlineStr"/>
      <c r="N46" s="16" t="n"/>
      <c r="O46" s="16">
        <f>J46+N46</f>
        <v/>
      </c>
      <c r="Q46" s="17" t="inlineStr"/>
      <c r="S46" s="17" t="inlineStr"/>
    </row>
    <row r="47">
      <c r="B47" s="14" t="inlineStr">
        <is>
          <t>Reservas de capital e ajustes patrimoniais</t>
        </is>
      </c>
      <c r="C47" s="15" t="inlineStr">
        <is>
          <t>2.03.02.01</t>
        </is>
      </c>
      <c r="D47" s="16">
        <f>IFERROR(SUMIFS(_dados_padronizados!C:C,_dados_padronizados!$A:$A,$C47&amp;"*"),0)</f>
        <v/>
      </c>
      <c r="E47" s="16">
        <f>IFERROR(SUMIFS(_dados_padronizados!D:D,_dados_padronizados!$A:$A,$C47&amp;"*"),0)</f>
        <v/>
      </c>
      <c r="F47" s="16">
        <f>IFERROR(SUMIFS(_dados_padronizados!E:E,_dados_padronizados!$A:$A,$C47&amp;"*"),0)</f>
        <v/>
      </c>
      <c r="G47" s="16">
        <f>IFERROR(SUMIFS(_dados_padronizados!F:F,_dados_padronizados!$A:$A,$C47&amp;"*"),0)</f>
        <v/>
      </c>
      <c r="H47" s="16">
        <f>IFERROR(SUMIFS(_dados_padronizados!G:G,_dados_padronizados!$A:$A,$C47&amp;"*"),0)</f>
        <v/>
      </c>
      <c r="I47" s="16" t="n"/>
      <c r="J47" s="16">
        <f>H47+I47</f>
        <v/>
      </c>
      <c r="L47" s="17" t="inlineStr"/>
      <c r="N47" s="16" t="n"/>
      <c r="O47" s="16">
        <f>J47+N47</f>
        <v/>
      </c>
      <c r="Q47" s="17" t="inlineStr"/>
      <c r="S47" s="17" t="inlineStr"/>
    </row>
    <row r="48">
      <c r="B48" s="14" t="inlineStr">
        <is>
          <t>Reservas de lucros</t>
        </is>
      </c>
      <c r="C48" s="15" t="inlineStr">
        <is>
          <t>2.03.02.03</t>
        </is>
      </c>
      <c r="D48" s="16">
        <f>IFERROR(SUMIFS(_dados_padronizados!C:C,_dados_padronizados!$A:$A,$C48&amp;"*"),0)</f>
        <v/>
      </c>
      <c r="E48" s="16">
        <f>IFERROR(SUMIFS(_dados_padronizados!D:D,_dados_padronizados!$A:$A,$C48&amp;"*"),0)</f>
        <v/>
      </c>
      <c r="F48" s="16">
        <f>IFERROR(SUMIFS(_dados_padronizados!E:E,_dados_padronizados!$A:$A,$C48&amp;"*"),0)</f>
        <v/>
      </c>
      <c r="G48" s="16">
        <f>IFERROR(SUMIFS(_dados_padronizados!F:F,_dados_padronizados!$A:$A,$C48&amp;"*"),0)</f>
        <v/>
      </c>
      <c r="H48" s="16">
        <f>IFERROR(SUMIFS(_dados_padronizados!G:G,_dados_padronizados!$A:$A,$C48&amp;"*"),0)</f>
        <v/>
      </c>
      <c r="I48" s="16" t="n"/>
      <c r="J48" s="16">
        <f>H48+I48</f>
        <v/>
      </c>
      <c r="L48" s="17" t="inlineStr"/>
      <c r="N48" s="16" t="n"/>
      <c r="O48" s="16">
        <f>J48+N48</f>
        <v/>
      </c>
      <c r="Q48" s="17" t="inlineStr"/>
      <c r="S48" s="17" t="inlineStr"/>
    </row>
    <row r="49">
      <c r="B49" s="14" t="inlineStr">
        <is>
          <t>Lucros/prejuízos acumulados</t>
        </is>
      </c>
      <c r="C49" s="15" t="inlineStr">
        <is>
          <t>2.03.04.01</t>
        </is>
      </c>
      <c r="D49" s="16">
        <f>IFERROR(SUMIFS(_dados_padronizados!C:C,_dados_padronizados!$A:$A,$C49&amp;"*"),0)</f>
        <v/>
      </c>
      <c r="E49" s="16">
        <f>IFERROR(SUMIFS(_dados_padronizados!D:D,_dados_padronizados!$A:$A,$C49&amp;"*"),0)</f>
        <v/>
      </c>
      <c r="F49" s="16">
        <f>IFERROR(SUMIFS(_dados_padronizados!E:E,_dados_padronizados!$A:$A,$C49&amp;"*"),0)</f>
        <v/>
      </c>
      <c r="G49" s="16">
        <f>IFERROR(SUMIFS(_dados_padronizados!F:F,_dados_padronizados!$A:$A,$C49&amp;"*"),0)</f>
        <v/>
      </c>
      <c r="H49" s="16">
        <f>IFERROR(SUMIFS(_dados_padronizados!G:G,_dados_padronizados!$A:$A,$C49&amp;"*"),0)</f>
        <v/>
      </c>
      <c r="I49" s="16" t="n"/>
      <c r="J49" s="16">
        <f>H49+I49</f>
        <v/>
      </c>
      <c r="L49" s="17" t="inlineStr"/>
      <c r="N49" s="16" t="n"/>
      <c r="O49" s="16">
        <f>J49+N49</f>
        <v/>
      </c>
      <c r="Q49" s="17" t="inlineStr"/>
      <c r="S49" s="17" t="inlineStr"/>
    </row>
    <row r="50">
      <c r="B50" s="12" t="inlineStr">
        <is>
          <t>Total do Patrimônio Líquido</t>
        </is>
      </c>
      <c r="C50" s="13" t="n"/>
      <c r="D50" s="18">
        <f>SUM(D46:D49)</f>
        <v/>
      </c>
      <c r="E50" s="18">
        <f>SUM(E46:E49)</f>
        <v/>
      </c>
      <c r="F50" s="18">
        <f>SUM(F46:F49)</f>
        <v/>
      </c>
      <c r="G50" s="18">
        <f>SUM(G46:G49)</f>
        <v/>
      </c>
      <c r="H50" s="18">
        <f>SUM(H46:H49)</f>
        <v/>
      </c>
      <c r="I50" s="18">
        <f>SUM(I46:I49)</f>
        <v/>
      </c>
      <c r="J50" s="18">
        <f>H50+I50</f>
        <v/>
      </c>
      <c r="L50" s="13" t="n"/>
      <c r="N50" s="18">
        <f>SUM(N46:N49)</f>
        <v/>
      </c>
      <c r="O50" s="18">
        <f>J50+N50</f>
        <v/>
      </c>
      <c r="Q50" s="13" t="n"/>
      <c r="S50" s="13" t="n"/>
    </row>
    <row r="51"/>
    <row r="52">
      <c r="B52" s="19" t="inlineStr">
        <is>
          <t>PASSIVO + PATRIMÔNIO LÍQUIDO</t>
        </is>
      </c>
      <c r="C52" s="20" t="n"/>
      <c r="D52" s="21">
        <f>D35+D43+D50</f>
        <v/>
      </c>
      <c r="E52" s="21">
        <f>E35+E43+E50</f>
        <v/>
      </c>
      <c r="F52" s="21">
        <f>F35+F43+F50</f>
        <v/>
      </c>
      <c r="G52" s="21">
        <f>G35+G43+G50</f>
        <v/>
      </c>
      <c r="H52" s="21">
        <f>H35+H43+H50</f>
        <v/>
      </c>
      <c r="I52" s="21">
        <f>I35+I43+I50</f>
        <v/>
      </c>
      <c r="J52" s="21">
        <f>H52+I52</f>
        <v/>
      </c>
      <c r="L52" s="20" t="n"/>
      <c r="N52" s="21">
        <f>N35+N43+N50</f>
        <v/>
      </c>
      <c r="O52" s="21">
        <f>J52+N52</f>
        <v/>
      </c>
      <c r="Q52" s="20" t="n"/>
      <c r="S52" s="20" t="n"/>
    </row>
    <row r="53"/>
    <row r="54">
      <c r="B54" s="8" t="inlineStr">
        <is>
          <t>Check (Ativo = Passivo + PL)</t>
        </is>
      </c>
      <c r="D54" s="22">
        <f>IF(ROUND(D26-D52,2)=0,"OK","NOK")</f>
        <v/>
      </c>
      <c r="E54" s="22">
        <f>IF(ROUND(E26-E52,2)=0,"OK","NOK")</f>
        <v/>
      </c>
      <c r="F54" s="22">
        <f>IF(ROUND(F26-F52,2)=0,"OK","NOK")</f>
        <v/>
      </c>
      <c r="G54" s="22">
        <f>IF(ROUND(G26-G52,2)=0,"OK","NOK")</f>
        <v/>
      </c>
      <c r="H54" s="22">
        <f>IF(ROUND(H26-H52,2)=0,"OK","NOK")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71" customWidth="1" min="1" max="1"/>
    <col width="55" customWidth="1" min="2" max="2"/>
    <col width="22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4" customWidth="1" min="9" max="9"/>
    <col width="15" customWidth="1" min="10" max="10"/>
  </cols>
  <sheetData>
    <row r="1"/>
    <row r="2"/>
    <row r="3"/>
    <row r="4">
      <c r="B4" s="7" t="inlineStr">
        <is>
          <t>[NOME DO CLIENTE]</t>
        </is>
      </c>
    </row>
    <row r="5"/>
    <row r="6">
      <c r="B6" s="8" t="inlineStr">
        <is>
          <t>Em milhares de reais</t>
        </is>
      </c>
    </row>
    <row r="7" ht="30" customHeight="1">
      <c r="B7" s="9" t="inlineStr">
        <is>
          <t>Demonstração do Resultado do Exercício (DRE)</t>
        </is>
      </c>
      <c r="C7" s="10" t="inlineStr">
        <is>
          <t>Código ECF</t>
        </is>
      </c>
      <c r="D7" s="10" t="inlineStr">
        <is>
          <t>2021</t>
        </is>
      </c>
      <c r="E7" s="10" t="inlineStr">
        <is>
          <t>2022</t>
        </is>
      </c>
      <c r="F7" s="10" t="inlineStr">
        <is>
          <t>2023</t>
        </is>
      </c>
      <c r="G7" s="10" t="inlineStr">
        <is>
          <t>2024</t>
        </is>
      </c>
      <c r="H7" s="10" t="inlineStr">
        <is>
          <t>2025</t>
        </is>
      </c>
      <c r="I7" s="10" t="inlineStr">
        <is>
          <t>Ajuste pro-forma</t>
        </is>
      </c>
      <c r="J7" s="10" t="inlineStr">
        <is>
          <t>Ajustado</t>
        </is>
      </c>
    </row>
    <row r="8">
      <c r="B8" s="23" t="inlineStr">
        <is>
          <t>RECEITA BRUTA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</row>
    <row r="9">
      <c r="B9" s="14" t="inlineStr">
        <is>
          <t>Receita bruta - venda de mercadorias e produtos</t>
        </is>
      </c>
      <c r="C9" s="15" t="inlineStr">
        <is>
          <t>3.01.01.01.01.04|3.01.01.01.01.05</t>
        </is>
      </c>
      <c r="D9" s="16">
        <f>IFERROR(SUMIFS(_dados_padronizados!C:C,_dados_padronizados!$A:$A,"3.01.01.01.01.04*")+SUMIFS(_dados_padronizados!C:C,_dados_padronizados!$A:$A,"3.01.01.01.01.05*"),0)</f>
        <v/>
      </c>
      <c r="E9" s="16">
        <f>IFERROR(SUMIFS(_dados_padronizados!D:D,_dados_padronizados!$A:$A,"3.01.01.01.01.04*")+SUMIFS(_dados_padronizados!D:D,_dados_padronizados!$A:$A,"3.01.01.01.01.05*"),0)</f>
        <v/>
      </c>
      <c r="F9" s="16">
        <f>IFERROR(SUMIFS(_dados_padronizados!E:E,_dados_padronizados!$A:$A,"3.01.01.01.01.04*")+SUMIFS(_dados_padronizados!E:E,_dados_padronizados!$A:$A,"3.01.01.01.01.05*"),0)</f>
        <v/>
      </c>
      <c r="G9" s="16">
        <f>IFERROR(SUMIFS(_dados_padronizados!F:F,_dados_padronizados!$A:$A,"3.01.01.01.01.04*")+SUMIFS(_dados_padronizados!F:F,_dados_padronizados!$A:$A,"3.01.01.01.01.05*"),0)</f>
        <v/>
      </c>
      <c r="H9" s="16">
        <f>IFERROR(SUMIFS(_dados_padronizados!G:G,_dados_padronizados!$A:$A,"3.01.01.01.01.04*")+SUMIFS(_dados_padronizados!G:G,_dados_padronizados!$A:$A,"3.01.01.01.01.05*"),0)</f>
        <v/>
      </c>
      <c r="I9" s="16" t="n"/>
      <c r="J9" s="16">
        <f>H9+I9</f>
        <v/>
      </c>
    </row>
    <row r="10">
      <c r="B10" s="14" t="inlineStr">
        <is>
          <t>Receita bruta - prestação de serviços</t>
        </is>
      </c>
      <c r="C10" s="15" t="inlineStr">
        <is>
          <t>3.01.01.01.01.06</t>
        </is>
      </c>
      <c r="D10" s="16">
        <f>IFERROR(SUMIFS(_dados_padronizados!C:C,_dados_padronizados!$A:$A,$C10&amp;"*"),0)</f>
        <v/>
      </c>
      <c r="E10" s="16">
        <f>IFERROR(SUMIFS(_dados_padronizados!D:D,_dados_padronizados!$A:$A,$C10&amp;"*"),0)</f>
        <v/>
      </c>
      <c r="F10" s="16">
        <f>IFERROR(SUMIFS(_dados_padronizados!E:E,_dados_padronizados!$A:$A,$C10&amp;"*"),0)</f>
        <v/>
      </c>
      <c r="G10" s="16">
        <f>IFERROR(SUMIFS(_dados_padronizados!F:F,_dados_padronizados!$A:$A,$C10&amp;"*"),0)</f>
        <v/>
      </c>
      <c r="H10" s="16">
        <f>IFERROR(SUMIFS(_dados_padronizados!G:G,_dados_padronizados!$A:$A,$C10&amp;"*"),0)</f>
        <v/>
      </c>
      <c r="I10" s="16" t="n"/>
      <c r="J10" s="16">
        <f>H10+I10</f>
        <v/>
      </c>
    </row>
    <row r="11">
      <c r="B11" s="14" t="inlineStr">
        <is>
          <t>Receita bruta - outras</t>
        </is>
      </c>
      <c r="C11" s="15" t="inlineStr">
        <is>
          <t>3.01.01.01.01.98|3.01.01.01.01.08|3.01.01.01.01.20</t>
        </is>
      </c>
      <c r="D11" s="16">
        <f>IFERROR(SUMIFS(_dados_padronizados!C:C,_dados_padronizados!$A:$A,"3.01.01.01.01.98*")+SUMIFS(_dados_padronizados!C:C,_dados_padronizados!$A:$A,"3.01.01.01.01.08*")+SUMIFS(_dados_padronizados!C:C,_dados_padronizados!$A:$A,"3.01.01.01.01.20*"),0)</f>
        <v/>
      </c>
      <c r="E11" s="16">
        <f>IFERROR(SUMIFS(_dados_padronizados!D:D,_dados_padronizados!$A:$A,"3.01.01.01.01.98*")+SUMIFS(_dados_padronizados!D:D,_dados_padronizados!$A:$A,"3.01.01.01.01.08*")+SUMIFS(_dados_padronizados!D:D,_dados_padronizados!$A:$A,"3.01.01.01.01.20*"),0)</f>
        <v/>
      </c>
      <c r="F11" s="16">
        <f>IFERROR(SUMIFS(_dados_padronizados!E:E,_dados_padronizados!$A:$A,"3.01.01.01.01.98*")+SUMIFS(_dados_padronizados!E:E,_dados_padronizados!$A:$A,"3.01.01.01.01.08*")+SUMIFS(_dados_padronizados!E:E,_dados_padronizados!$A:$A,"3.01.01.01.01.20*"),0)</f>
        <v/>
      </c>
      <c r="G11" s="16">
        <f>IFERROR(SUMIFS(_dados_padronizados!F:F,_dados_padronizados!$A:$A,"3.01.01.01.01.98*")+SUMIFS(_dados_padronizados!F:F,_dados_padronizados!$A:$A,"3.01.01.01.01.08*")+SUMIFS(_dados_padronizados!F:F,_dados_padronizados!$A:$A,"3.01.01.01.01.20*"),0)</f>
        <v/>
      </c>
      <c r="H11" s="16">
        <f>IFERROR(SUMIFS(_dados_padronizados!G:G,_dados_padronizados!$A:$A,"3.01.01.01.01.98*")+SUMIFS(_dados_padronizados!G:G,_dados_padronizados!$A:$A,"3.01.01.01.01.08*")+SUMIFS(_dados_padronizados!G:G,_dados_padronizados!$A:$A,"3.01.01.01.01.20*"),0)</f>
        <v/>
      </c>
      <c r="I11" s="16" t="n"/>
      <c r="J11" s="16">
        <f>H11+I11</f>
        <v/>
      </c>
    </row>
    <row r="12">
      <c r="B12" s="12" t="inlineStr">
        <is>
          <t>(=) Receita bruta total</t>
        </is>
      </c>
      <c r="C12" s="13" t="n"/>
      <c r="D12" s="18">
        <f>SUM(D9:D11)</f>
        <v/>
      </c>
      <c r="E12" s="18">
        <f>SUM(E9:E11)</f>
        <v/>
      </c>
      <c r="F12" s="18">
        <f>SUM(F9:F11)</f>
        <v/>
      </c>
      <c r="G12" s="18">
        <f>SUM(G9:G11)</f>
        <v/>
      </c>
      <c r="H12" s="18">
        <f>SUM(H9:H11)</f>
        <v/>
      </c>
      <c r="I12" s="18">
        <f>SUM(I9:I11)</f>
        <v/>
      </c>
      <c r="J12" s="18">
        <f>H12+I12</f>
        <v/>
      </c>
    </row>
    <row r="13"/>
    <row r="14">
      <c r="B14" s="23" t="inlineStr">
        <is>
          <t>DEDUÇÕES DA RECEITA BRUTA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B15" s="14" t="inlineStr">
        <is>
          <t>(-) Tributos sobre vendas e serviços</t>
        </is>
      </c>
      <c r="C15" s="15" t="inlineStr">
        <is>
          <t>3.01.01.01.02.03|3.01.01.01.02.04|3.01.01.01.02.05|3.01.01.01.02.06|3.01.01.01.02.09</t>
        </is>
      </c>
      <c r="D15" s="16">
        <f>IFERROR(SUMIFS(_dados_padronizados!C:C,_dados_padronizados!$A:$A,"3.01.01.01.02.03*")+SUMIFS(_dados_padronizados!C:C,_dados_padronizados!$A:$A,"3.01.01.01.02.04*")+SUMIFS(_dados_padronizados!C:C,_dados_padronizados!$A:$A,"3.01.01.01.02.05*")+SUMIFS(_dados_padronizados!C:C,_dados_padronizados!$A:$A,"3.01.01.01.02.06*")+SUMIFS(_dados_padronizados!C:C,_dados_padronizados!$A:$A,"3.01.01.01.02.09*"),0)</f>
        <v/>
      </c>
      <c r="E15" s="16">
        <f>IFERROR(SUMIFS(_dados_padronizados!D:D,_dados_padronizados!$A:$A,"3.01.01.01.02.03*")+SUMIFS(_dados_padronizados!D:D,_dados_padronizados!$A:$A,"3.01.01.01.02.04*")+SUMIFS(_dados_padronizados!D:D,_dados_padronizados!$A:$A,"3.01.01.01.02.05*")+SUMIFS(_dados_padronizados!D:D,_dados_padronizados!$A:$A,"3.01.01.01.02.06*")+SUMIFS(_dados_padronizados!D:D,_dados_padronizados!$A:$A,"3.01.01.01.02.09*"),0)</f>
        <v/>
      </c>
      <c r="F15" s="16">
        <f>IFERROR(SUMIFS(_dados_padronizados!E:E,_dados_padronizados!$A:$A,"3.01.01.01.02.03*")+SUMIFS(_dados_padronizados!E:E,_dados_padronizados!$A:$A,"3.01.01.01.02.04*")+SUMIFS(_dados_padronizados!E:E,_dados_padronizados!$A:$A,"3.01.01.01.02.05*")+SUMIFS(_dados_padronizados!E:E,_dados_padronizados!$A:$A,"3.01.01.01.02.06*")+SUMIFS(_dados_padronizados!E:E,_dados_padronizados!$A:$A,"3.01.01.01.02.09*"),0)</f>
        <v/>
      </c>
      <c r="G15" s="16">
        <f>IFERROR(SUMIFS(_dados_padronizados!F:F,_dados_padronizados!$A:$A,"3.01.01.01.02.03*")+SUMIFS(_dados_padronizados!F:F,_dados_padronizados!$A:$A,"3.01.01.01.02.04*")+SUMIFS(_dados_padronizados!F:F,_dados_padronizados!$A:$A,"3.01.01.01.02.05*")+SUMIFS(_dados_padronizados!F:F,_dados_padronizados!$A:$A,"3.01.01.01.02.06*")+SUMIFS(_dados_padronizados!F:F,_dados_padronizados!$A:$A,"3.01.01.01.02.09*"),0)</f>
        <v/>
      </c>
      <c r="H15" s="16">
        <f>IFERROR(SUMIFS(_dados_padronizados!G:G,_dados_padronizados!$A:$A,"3.01.01.01.02.03*")+SUMIFS(_dados_padronizados!G:G,_dados_padronizados!$A:$A,"3.01.01.01.02.04*")+SUMIFS(_dados_padronizados!G:G,_dados_padronizados!$A:$A,"3.01.01.01.02.05*")+SUMIFS(_dados_padronizados!G:G,_dados_padronizados!$A:$A,"3.01.01.01.02.06*")+SUMIFS(_dados_padronizados!G:G,_dados_padronizados!$A:$A,"3.01.01.01.02.09*"),0)</f>
        <v/>
      </c>
      <c r="I15" s="16" t="n"/>
      <c r="J15" s="16">
        <f>H15+I15</f>
        <v/>
      </c>
    </row>
    <row r="16">
      <c r="B16" s="14" t="inlineStr">
        <is>
          <t>(-) Devoluções, abatimentos e descontos</t>
        </is>
      </c>
      <c r="C16" s="15" t="inlineStr">
        <is>
          <t>3.01.01.01.02.01|3.01.01.01.02.02</t>
        </is>
      </c>
      <c r="D16" s="16">
        <f>IFERROR(SUMIFS(_dados_padronizados!C:C,_dados_padronizados!$A:$A,"3.01.01.01.02.01*")+SUMIFS(_dados_padronizados!C:C,_dados_padronizados!$A:$A,"3.01.01.01.02.02*"),0)</f>
        <v/>
      </c>
      <c r="E16" s="16">
        <f>IFERROR(SUMIFS(_dados_padronizados!D:D,_dados_padronizados!$A:$A,"3.01.01.01.02.01*")+SUMIFS(_dados_padronizados!D:D,_dados_padronizados!$A:$A,"3.01.01.01.02.02*"),0)</f>
        <v/>
      </c>
      <c r="F16" s="16">
        <f>IFERROR(SUMIFS(_dados_padronizados!E:E,_dados_padronizados!$A:$A,"3.01.01.01.02.01*")+SUMIFS(_dados_padronizados!E:E,_dados_padronizados!$A:$A,"3.01.01.01.02.02*"),0)</f>
        <v/>
      </c>
      <c r="G16" s="16">
        <f>IFERROR(SUMIFS(_dados_padronizados!F:F,_dados_padronizados!$A:$A,"3.01.01.01.02.01*")+SUMIFS(_dados_padronizados!F:F,_dados_padronizados!$A:$A,"3.01.01.01.02.02*"),0)</f>
        <v/>
      </c>
      <c r="H16" s="16">
        <f>IFERROR(SUMIFS(_dados_padronizados!G:G,_dados_padronizados!$A:$A,"3.01.01.01.02.01*")+SUMIFS(_dados_padronizados!G:G,_dados_padronizados!$A:$A,"3.01.01.01.02.02*"),0)</f>
        <v/>
      </c>
      <c r="I16" s="16" t="n"/>
      <c r="J16" s="16">
        <f>H16+I16</f>
        <v/>
      </c>
    </row>
    <row r="17">
      <c r="B17" s="12" t="inlineStr">
        <is>
          <t>(=) Total das deduções</t>
        </is>
      </c>
      <c r="C17" s="13" t="n"/>
      <c r="D17" s="18">
        <f>SUM(D15:D16)</f>
        <v/>
      </c>
      <c r="E17" s="18">
        <f>SUM(E15:E16)</f>
        <v/>
      </c>
      <c r="F17" s="18">
        <f>SUM(F15:F16)</f>
        <v/>
      </c>
      <c r="G17" s="18">
        <f>SUM(G15:G16)</f>
        <v/>
      </c>
      <c r="H17" s="18">
        <f>SUM(H15:H16)</f>
        <v/>
      </c>
      <c r="I17" s="18">
        <f>SUM(I15:I16)</f>
        <v/>
      </c>
      <c r="J17" s="18">
        <f>H17+I17</f>
        <v/>
      </c>
    </row>
    <row r="18"/>
    <row r="19">
      <c r="B19" s="19" t="inlineStr">
        <is>
          <t>(=) RECEITA OPERACIONAL LÍQUIDA</t>
        </is>
      </c>
      <c r="C19" s="20" t="n"/>
      <c r="D19" s="21">
        <f>D12+D17</f>
        <v/>
      </c>
      <c r="E19" s="21">
        <f>E12+E17</f>
        <v/>
      </c>
      <c r="F19" s="21">
        <f>F12+F17</f>
        <v/>
      </c>
      <c r="G19" s="21">
        <f>G12+G17</f>
        <v/>
      </c>
      <c r="H19" s="21">
        <f>H12+H17</f>
        <v/>
      </c>
      <c r="I19" s="21">
        <f>I12+I17</f>
        <v/>
      </c>
      <c r="J19" s="21">
        <f>H19+I19</f>
        <v/>
      </c>
    </row>
    <row r="20"/>
    <row r="21">
      <c r="B21" s="14" t="inlineStr">
        <is>
          <t>(-) Custos dos produtos, mercadorias e serviços vendidos</t>
        </is>
      </c>
      <c r="C21" s="15" t="inlineStr">
        <is>
          <t>3.01.01.03</t>
        </is>
      </c>
      <c r="D21" s="16">
        <f>IFERROR(SUMIFS(_dados_padronizados!C:C,_dados_padronizados!$A:$A,$C21&amp;"*"),0)</f>
        <v/>
      </c>
      <c r="E21" s="16">
        <f>IFERROR(SUMIFS(_dados_padronizados!D:D,_dados_padronizados!$A:$A,$C21&amp;"*"),0)</f>
        <v/>
      </c>
      <c r="F21" s="16">
        <f>IFERROR(SUMIFS(_dados_padronizados!E:E,_dados_padronizados!$A:$A,$C21&amp;"*"),0)</f>
        <v/>
      </c>
      <c r="G21" s="16">
        <f>IFERROR(SUMIFS(_dados_padronizados!F:F,_dados_padronizados!$A:$A,$C21&amp;"*"),0)</f>
        <v/>
      </c>
      <c r="H21" s="16">
        <f>IFERROR(SUMIFS(_dados_padronizados!G:G,_dados_padronizados!$A:$A,$C21&amp;"*"),0)</f>
        <v/>
      </c>
      <c r="I21" s="16" t="n"/>
      <c r="J21" s="16">
        <f>H21+I21</f>
        <v/>
      </c>
    </row>
    <row r="22">
      <c r="B22" s="19" t="inlineStr">
        <is>
          <t>(=) LUCRO BRUTO</t>
        </is>
      </c>
      <c r="C22" s="20" t="n"/>
      <c r="D22" s="21">
        <f>D19+D21</f>
        <v/>
      </c>
      <c r="E22" s="21">
        <f>E19+E21</f>
        <v/>
      </c>
      <c r="F22" s="21">
        <f>F19+F21</f>
        <v/>
      </c>
      <c r="G22" s="21">
        <f>G19+G21</f>
        <v/>
      </c>
      <c r="H22" s="21">
        <f>H19+H21</f>
        <v/>
      </c>
      <c r="I22" s="21">
        <f>I19+I21</f>
        <v/>
      </c>
      <c r="J22" s="21">
        <f>H22+I22</f>
        <v/>
      </c>
    </row>
    <row r="23"/>
    <row r="24">
      <c r="B24" s="23" t="inlineStr">
        <is>
          <t>DESPESAS OPERACIONAIS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B25" s="14" t="inlineStr">
        <is>
          <t>(-) Despesas com vendas</t>
        </is>
      </c>
      <c r="C25" s="15" t="inlineStr">
        <is>
          <t>3.01.01.07.01.20|3.01.01.07.01.21</t>
        </is>
      </c>
      <c r="D25" s="16">
        <f>IFERROR(SUMIFS(_dados_padronizados!C:C,_dados_padronizados!$A:$A,"3.01.01.07.01.20*")+SUMIFS(_dados_padronizados!C:C,_dados_padronizados!$A:$A,"3.01.01.07.01.21*"),0)</f>
        <v/>
      </c>
      <c r="E25" s="16">
        <f>IFERROR(SUMIFS(_dados_padronizados!D:D,_dados_padronizados!$A:$A,"3.01.01.07.01.20*")+SUMIFS(_dados_padronizados!D:D,_dados_padronizados!$A:$A,"3.01.01.07.01.21*"),0)</f>
        <v/>
      </c>
      <c r="F25" s="16">
        <f>IFERROR(SUMIFS(_dados_padronizados!E:E,_dados_padronizados!$A:$A,"3.01.01.07.01.20*")+SUMIFS(_dados_padronizados!E:E,_dados_padronizados!$A:$A,"3.01.01.07.01.21*"),0)</f>
        <v/>
      </c>
      <c r="G25" s="16">
        <f>IFERROR(SUMIFS(_dados_padronizados!F:F,_dados_padronizados!$A:$A,"3.01.01.07.01.20*")+SUMIFS(_dados_padronizados!F:F,_dados_padronizados!$A:$A,"3.01.01.07.01.21*"),0)</f>
        <v/>
      </c>
      <c r="H25" s="16">
        <f>IFERROR(SUMIFS(_dados_padronizados!G:G,_dados_padronizados!$A:$A,"3.01.01.07.01.20*")+SUMIFS(_dados_padronizados!G:G,_dados_padronizados!$A:$A,"3.01.01.07.01.21*"),0)</f>
        <v/>
      </c>
      <c r="I25" s="16" t="n"/>
      <c r="J25" s="16">
        <f>H25+I25</f>
        <v/>
      </c>
    </row>
    <row r="26">
      <c r="B26" s="14" t="inlineStr">
        <is>
          <t>(-) Despesas com pessoal</t>
        </is>
      </c>
      <c r="C26" s="15" t="inlineStr">
        <is>
          <t>3.01.01.07.01.01|3.01.01.07.01.02|3.01.01.07.01.03|3.01.01.07.01.05|3.01.01.07.01.06|3.01.01.07.01.07|3.01.01.07.01.30|3.01.01.07.01.33</t>
        </is>
      </c>
      <c r="D26" s="16">
        <f>IFERROR(SUMIFS(_dados_padronizados!C:C,_dados_padronizados!$A:$A,"3.01.01.07.01.01*")+SUMIFS(_dados_padronizados!C:C,_dados_padronizados!$A:$A,"3.01.01.07.01.02*")+SUMIFS(_dados_padronizados!C:C,_dados_padronizados!$A:$A,"3.01.01.07.01.03*")+SUMIFS(_dados_padronizados!C:C,_dados_padronizados!$A:$A,"3.01.01.07.01.05*")+SUMIFS(_dados_padronizados!C:C,_dados_padronizados!$A:$A,"3.01.01.07.01.06*")+SUMIFS(_dados_padronizados!C:C,_dados_padronizados!$A:$A,"3.01.01.07.01.07*")+SUMIFS(_dados_padronizados!C:C,_dados_padronizados!$A:$A,"3.01.01.07.01.30*")+SUMIFS(_dados_padronizados!C:C,_dados_padronizados!$A:$A,"3.01.01.07.01.33*"),0)</f>
        <v/>
      </c>
      <c r="E26" s="16">
        <f>IFERROR(SUMIFS(_dados_padronizados!D:D,_dados_padronizados!$A:$A,"3.01.01.07.01.01*")+SUMIFS(_dados_padronizados!D:D,_dados_padronizados!$A:$A,"3.01.01.07.01.02*")+SUMIFS(_dados_padronizados!D:D,_dados_padronizados!$A:$A,"3.01.01.07.01.03*")+SUMIFS(_dados_padronizados!D:D,_dados_padronizados!$A:$A,"3.01.01.07.01.05*")+SUMIFS(_dados_padronizados!D:D,_dados_padronizados!$A:$A,"3.01.01.07.01.06*")+SUMIFS(_dados_padronizados!D:D,_dados_padronizados!$A:$A,"3.01.01.07.01.07*")+SUMIFS(_dados_padronizados!D:D,_dados_padronizados!$A:$A,"3.01.01.07.01.30*")+SUMIFS(_dados_padronizados!D:D,_dados_padronizados!$A:$A,"3.01.01.07.01.33*"),0)</f>
        <v/>
      </c>
      <c r="F26" s="16">
        <f>IFERROR(SUMIFS(_dados_padronizados!E:E,_dados_padronizados!$A:$A,"3.01.01.07.01.01*")+SUMIFS(_dados_padronizados!E:E,_dados_padronizados!$A:$A,"3.01.01.07.01.02*")+SUMIFS(_dados_padronizados!E:E,_dados_padronizados!$A:$A,"3.01.01.07.01.03*")+SUMIFS(_dados_padronizados!E:E,_dados_padronizados!$A:$A,"3.01.01.07.01.05*")+SUMIFS(_dados_padronizados!E:E,_dados_padronizados!$A:$A,"3.01.01.07.01.06*")+SUMIFS(_dados_padronizados!E:E,_dados_padronizados!$A:$A,"3.01.01.07.01.07*")+SUMIFS(_dados_padronizados!E:E,_dados_padronizados!$A:$A,"3.01.01.07.01.30*")+SUMIFS(_dados_padronizados!E:E,_dados_padronizados!$A:$A,"3.01.01.07.01.33*"),0)</f>
        <v/>
      </c>
      <c r="G26" s="16">
        <f>IFERROR(SUMIFS(_dados_padronizados!F:F,_dados_padronizados!$A:$A,"3.01.01.07.01.01*")+SUMIFS(_dados_padronizados!F:F,_dados_padronizados!$A:$A,"3.01.01.07.01.02*")+SUMIFS(_dados_padronizados!F:F,_dados_padronizados!$A:$A,"3.01.01.07.01.03*")+SUMIFS(_dados_padronizados!F:F,_dados_padronizados!$A:$A,"3.01.01.07.01.05*")+SUMIFS(_dados_padronizados!F:F,_dados_padronizados!$A:$A,"3.01.01.07.01.06*")+SUMIFS(_dados_padronizados!F:F,_dados_padronizados!$A:$A,"3.01.01.07.01.07*")+SUMIFS(_dados_padronizados!F:F,_dados_padronizados!$A:$A,"3.01.01.07.01.30*")+SUMIFS(_dados_padronizados!F:F,_dados_padronizados!$A:$A,"3.01.01.07.01.33*"),0)</f>
        <v/>
      </c>
      <c r="H26" s="16">
        <f>IFERROR(SUMIFS(_dados_padronizados!G:G,_dados_padronizados!$A:$A,"3.01.01.07.01.01*")+SUMIFS(_dados_padronizados!G:G,_dados_padronizados!$A:$A,"3.01.01.07.01.02*")+SUMIFS(_dados_padronizados!G:G,_dados_padronizados!$A:$A,"3.01.01.07.01.03*")+SUMIFS(_dados_padronizados!G:G,_dados_padronizados!$A:$A,"3.01.01.07.01.05*")+SUMIFS(_dados_padronizados!G:G,_dados_padronizados!$A:$A,"3.01.01.07.01.06*")+SUMIFS(_dados_padronizados!G:G,_dados_padronizados!$A:$A,"3.01.01.07.01.07*")+SUMIFS(_dados_padronizados!G:G,_dados_padronizados!$A:$A,"3.01.01.07.01.30*")+SUMIFS(_dados_padronizados!G:G,_dados_padronizados!$A:$A,"3.01.01.07.01.33*"),0)</f>
        <v/>
      </c>
      <c r="I26" s="16" t="n"/>
      <c r="J26" s="16">
        <f>H26+I26</f>
        <v/>
      </c>
    </row>
    <row r="27">
      <c r="B27" s="14" t="inlineStr">
        <is>
          <t>(-) Despesas gerais e administrativas</t>
        </is>
      </c>
      <c r="C27" s="15" t="inlineStr">
        <is>
          <t>3.01.01.07.01.04|3.01.01.07.01.17|3.01.01.07.01.18|3.01.01.07.01.19|3.01.01.07.01.36|3.01.01.07.01.37|3.01.01.07.01.38|3.01.01.07.01.40</t>
        </is>
      </c>
      <c r="D27" s="16">
        <f>IFERROR(SUMIFS(_dados_padronizados!C:C,_dados_padronizados!$A:$A,"3.01.01.07.01.04*")+SUMIFS(_dados_padronizados!C:C,_dados_padronizados!$A:$A,"3.01.01.07.01.17*")+SUMIFS(_dados_padronizados!C:C,_dados_padronizados!$A:$A,"3.01.01.07.01.18*")+SUMIFS(_dados_padronizados!C:C,_dados_padronizados!$A:$A,"3.01.01.07.01.19*")+SUMIFS(_dados_padronizados!C:C,_dados_padronizados!$A:$A,"3.01.01.07.01.36*")+SUMIFS(_dados_padronizados!C:C,_dados_padronizados!$A:$A,"3.01.01.07.01.37*")+SUMIFS(_dados_padronizados!C:C,_dados_padronizados!$A:$A,"3.01.01.07.01.38*")+SUMIFS(_dados_padronizados!C:C,_dados_padronizados!$A:$A,"3.01.01.07.01.40*"),0)</f>
        <v/>
      </c>
      <c r="E27" s="16">
        <f>IFERROR(SUMIFS(_dados_padronizados!D:D,_dados_padronizados!$A:$A,"3.01.01.07.01.04*")+SUMIFS(_dados_padronizados!D:D,_dados_padronizados!$A:$A,"3.01.01.07.01.17*")+SUMIFS(_dados_padronizados!D:D,_dados_padronizados!$A:$A,"3.01.01.07.01.18*")+SUMIFS(_dados_padronizados!D:D,_dados_padronizados!$A:$A,"3.01.01.07.01.19*")+SUMIFS(_dados_padronizados!D:D,_dados_padronizados!$A:$A,"3.01.01.07.01.36*")+SUMIFS(_dados_padronizados!D:D,_dados_padronizados!$A:$A,"3.01.01.07.01.37*")+SUMIFS(_dados_padronizados!D:D,_dados_padronizados!$A:$A,"3.01.01.07.01.38*")+SUMIFS(_dados_padronizados!D:D,_dados_padronizados!$A:$A,"3.01.01.07.01.40*"),0)</f>
        <v/>
      </c>
      <c r="F27" s="16">
        <f>IFERROR(SUMIFS(_dados_padronizados!E:E,_dados_padronizados!$A:$A,"3.01.01.07.01.04*")+SUMIFS(_dados_padronizados!E:E,_dados_padronizados!$A:$A,"3.01.01.07.01.17*")+SUMIFS(_dados_padronizados!E:E,_dados_padronizados!$A:$A,"3.01.01.07.01.18*")+SUMIFS(_dados_padronizados!E:E,_dados_padronizados!$A:$A,"3.01.01.07.01.19*")+SUMIFS(_dados_padronizados!E:E,_dados_padronizados!$A:$A,"3.01.01.07.01.36*")+SUMIFS(_dados_padronizados!E:E,_dados_padronizados!$A:$A,"3.01.01.07.01.37*")+SUMIFS(_dados_padronizados!E:E,_dados_padronizados!$A:$A,"3.01.01.07.01.38*")+SUMIFS(_dados_padronizados!E:E,_dados_padronizados!$A:$A,"3.01.01.07.01.40*"),0)</f>
        <v/>
      </c>
      <c r="G27" s="16">
        <f>IFERROR(SUMIFS(_dados_padronizados!F:F,_dados_padronizados!$A:$A,"3.01.01.07.01.04*")+SUMIFS(_dados_padronizados!F:F,_dados_padronizados!$A:$A,"3.01.01.07.01.17*")+SUMIFS(_dados_padronizados!F:F,_dados_padronizados!$A:$A,"3.01.01.07.01.18*")+SUMIFS(_dados_padronizados!F:F,_dados_padronizados!$A:$A,"3.01.01.07.01.19*")+SUMIFS(_dados_padronizados!F:F,_dados_padronizados!$A:$A,"3.01.01.07.01.36*")+SUMIFS(_dados_padronizados!F:F,_dados_padronizados!$A:$A,"3.01.01.07.01.37*")+SUMIFS(_dados_padronizados!F:F,_dados_padronizados!$A:$A,"3.01.01.07.01.38*")+SUMIFS(_dados_padronizados!F:F,_dados_padronizados!$A:$A,"3.01.01.07.01.40*"),0)</f>
        <v/>
      </c>
      <c r="H27" s="16">
        <f>IFERROR(SUMIFS(_dados_padronizados!G:G,_dados_padronizados!$A:$A,"3.01.01.07.01.04*")+SUMIFS(_dados_padronizados!G:G,_dados_padronizados!$A:$A,"3.01.01.07.01.17*")+SUMIFS(_dados_padronizados!G:G,_dados_padronizados!$A:$A,"3.01.01.07.01.18*")+SUMIFS(_dados_padronizados!G:G,_dados_padronizados!$A:$A,"3.01.01.07.01.19*")+SUMIFS(_dados_padronizados!G:G,_dados_padronizados!$A:$A,"3.01.01.07.01.36*")+SUMIFS(_dados_padronizados!G:G,_dados_padronizados!$A:$A,"3.01.01.07.01.37*")+SUMIFS(_dados_padronizados!G:G,_dados_padronizados!$A:$A,"3.01.01.07.01.38*")+SUMIFS(_dados_padronizados!G:G,_dados_padronizados!$A:$A,"3.01.01.07.01.40*"),0)</f>
        <v/>
      </c>
      <c r="I27" s="16" t="n"/>
      <c r="J27" s="16">
        <f>H27+I27</f>
        <v/>
      </c>
    </row>
    <row r="28">
      <c r="B28" s="14" t="inlineStr">
        <is>
          <t>(+) Outras receitas operacionais</t>
        </is>
      </c>
      <c r="C28" s="15" t="inlineStr">
        <is>
          <t>3.01.01.05.01.10|3.01.01.05.01.99</t>
        </is>
      </c>
      <c r="D28" s="16">
        <f>IFERROR(SUMIFS(_dados_padronizados!C:C,_dados_padronizados!$A:$A,"3.01.01.05.01.10*")+SUMIFS(_dados_padronizados!C:C,_dados_padronizados!$A:$A,"3.01.01.05.01.99*"),0)</f>
        <v/>
      </c>
      <c r="E28" s="16">
        <f>IFERROR(SUMIFS(_dados_padronizados!D:D,_dados_padronizados!$A:$A,"3.01.01.05.01.10*")+SUMIFS(_dados_padronizados!D:D,_dados_padronizados!$A:$A,"3.01.01.05.01.99*"),0)</f>
        <v/>
      </c>
      <c r="F28" s="16">
        <f>IFERROR(SUMIFS(_dados_padronizados!E:E,_dados_padronizados!$A:$A,"3.01.01.05.01.10*")+SUMIFS(_dados_padronizados!E:E,_dados_padronizados!$A:$A,"3.01.01.05.01.99*"),0)</f>
        <v/>
      </c>
      <c r="G28" s="16">
        <f>IFERROR(SUMIFS(_dados_padronizados!F:F,_dados_padronizados!$A:$A,"3.01.01.05.01.10*")+SUMIFS(_dados_padronizados!F:F,_dados_padronizados!$A:$A,"3.01.01.05.01.99*"),0)</f>
        <v/>
      </c>
      <c r="H28" s="16">
        <f>IFERROR(SUMIFS(_dados_padronizados!G:G,_dados_padronizados!$A:$A,"3.01.01.05.01.10*")+SUMIFS(_dados_padronizados!G:G,_dados_padronizados!$A:$A,"3.01.01.05.01.99*"),0)</f>
        <v/>
      </c>
      <c r="I28" s="16" t="n"/>
      <c r="J28" s="16">
        <f>H28+I28</f>
        <v/>
      </c>
    </row>
    <row r="29">
      <c r="B29" s="14" t="inlineStr">
        <is>
          <t>(-) Outras despesas operacionais</t>
        </is>
      </c>
      <c r="C29" s="15" t="inlineStr">
        <is>
          <t>3.01.01.07.01.14|3.01.01.07.01.15|3.01.01.07.01.16|3.01.01.07.01.22|3.01.01.09.01.99</t>
        </is>
      </c>
      <c r="D29" s="16">
        <f>IFERROR(SUMIFS(_dados_padronizados!C:C,_dados_padronizados!$A:$A,"3.01.01.07.01.14*")+SUMIFS(_dados_padronizados!C:C,_dados_padronizados!$A:$A,"3.01.01.07.01.15*")+SUMIFS(_dados_padronizados!C:C,_dados_padronizados!$A:$A,"3.01.01.07.01.16*")+SUMIFS(_dados_padronizados!C:C,_dados_padronizados!$A:$A,"3.01.01.07.01.22*")+SUMIFS(_dados_padronizados!C:C,_dados_padronizados!$A:$A,"3.01.01.09.01.99*"),0)</f>
        <v/>
      </c>
      <c r="E29" s="16">
        <f>IFERROR(SUMIFS(_dados_padronizados!D:D,_dados_padronizados!$A:$A,"3.01.01.07.01.14*")+SUMIFS(_dados_padronizados!D:D,_dados_padronizados!$A:$A,"3.01.01.07.01.15*")+SUMIFS(_dados_padronizados!D:D,_dados_padronizados!$A:$A,"3.01.01.07.01.16*")+SUMIFS(_dados_padronizados!D:D,_dados_padronizados!$A:$A,"3.01.01.07.01.22*")+SUMIFS(_dados_padronizados!D:D,_dados_padronizados!$A:$A,"3.01.01.09.01.99*"),0)</f>
        <v/>
      </c>
      <c r="F29" s="16">
        <f>IFERROR(SUMIFS(_dados_padronizados!E:E,_dados_padronizados!$A:$A,"3.01.01.07.01.14*")+SUMIFS(_dados_padronizados!E:E,_dados_padronizados!$A:$A,"3.01.01.07.01.15*")+SUMIFS(_dados_padronizados!E:E,_dados_padronizados!$A:$A,"3.01.01.07.01.16*")+SUMIFS(_dados_padronizados!E:E,_dados_padronizados!$A:$A,"3.01.01.07.01.22*")+SUMIFS(_dados_padronizados!E:E,_dados_padronizados!$A:$A,"3.01.01.09.01.99*"),0)</f>
        <v/>
      </c>
      <c r="G29" s="16">
        <f>IFERROR(SUMIFS(_dados_padronizados!F:F,_dados_padronizados!$A:$A,"3.01.01.07.01.14*")+SUMIFS(_dados_padronizados!F:F,_dados_padronizados!$A:$A,"3.01.01.07.01.15*")+SUMIFS(_dados_padronizados!F:F,_dados_padronizados!$A:$A,"3.01.01.07.01.16*")+SUMIFS(_dados_padronizados!F:F,_dados_padronizados!$A:$A,"3.01.01.07.01.22*")+SUMIFS(_dados_padronizados!F:F,_dados_padronizados!$A:$A,"3.01.01.09.01.99*"),0)</f>
        <v/>
      </c>
      <c r="H29" s="16">
        <f>IFERROR(SUMIFS(_dados_padronizados!G:G,_dados_padronizados!$A:$A,"3.01.01.07.01.14*")+SUMIFS(_dados_padronizados!G:G,_dados_padronizados!$A:$A,"3.01.01.07.01.15*")+SUMIFS(_dados_padronizados!G:G,_dados_padronizados!$A:$A,"3.01.01.07.01.16*")+SUMIFS(_dados_padronizados!G:G,_dados_padronizados!$A:$A,"3.01.01.07.01.22*")+SUMIFS(_dados_padronizados!G:G,_dados_padronizados!$A:$A,"3.01.01.09.01.99*"),0)</f>
        <v/>
      </c>
      <c r="I29" s="16" t="n"/>
      <c r="J29" s="16">
        <f>H29+I29</f>
        <v/>
      </c>
    </row>
    <row r="30"/>
    <row r="31">
      <c r="B31" s="19" t="inlineStr">
        <is>
          <t>(=) EBITDA</t>
        </is>
      </c>
      <c r="C31" s="20" t="n"/>
      <c r="D31" s="21">
        <f>D22+SUM(D25:D30)</f>
        <v/>
      </c>
      <c r="E31" s="21">
        <f>E22+SUM(E25:E30)</f>
        <v/>
      </c>
      <c r="F31" s="21">
        <f>F22+SUM(F25:F30)</f>
        <v/>
      </c>
      <c r="G31" s="21">
        <f>G22+SUM(G25:G30)</f>
        <v/>
      </c>
      <c r="H31" s="21">
        <f>H22+SUM(H25:H30)</f>
        <v/>
      </c>
      <c r="I31" s="21">
        <f>I22+SUM(I25:I30)</f>
        <v/>
      </c>
      <c r="J31" s="21">
        <f>H31+I31</f>
        <v/>
      </c>
    </row>
    <row r="32"/>
    <row r="33">
      <c r="B33" s="14" t="inlineStr">
        <is>
          <t>(-) Depreciação e amortização</t>
        </is>
      </c>
      <c r="C33" s="15" t="inlineStr">
        <is>
          <t>3.01.01.07.01.23|3.01.01.07.01.24</t>
        </is>
      </c>
      <c r="D33" s="16">
        <f>IFERROR(SUMIFS(_dados_padronizados!C:C,_dados_padronizados!$A:$A,"3.01.01.07.01.23*")+SUMIFS(_dados_padronizados!C:C,_dados_padronizados!$A:$A,"3.01.01.07.01.24*"),0)</f>
        <v/>
      </c>
      <c r="E33" s="16">
        <f>IFERROR(SUMIFS(_dados_padronizados!D:D,_dados_padronizados!$A:$A,"3.01.01.07.01.23*")+SUMIFS(_dados_padronizados!D:D,_dados_padronizados!$A:$A,"3.01.01.07.01.24*"),0)</f>
        <v/>
      </c>
      <c r="F33" s="16">
        <f>IFERROR(SUMIFS(_dados_padronizados!E:E,_dados_padronizados!$A:$A,"3.01.01.07.01.23*")+SUMIFS(_dados_padronizados!E:E,_dados_padronizados!$A:$A,"3.01.01.07.01.24*"),0)</f>
        <v/>
      </c>
      <c r="G33" s="16">
        <f>IFERROR(SUMIFS(_dados_padronizados!F:F,_dados_padronizados!$A:$A,"3.01.01.07.01.23*")+SUMIFS(_dados_padronizados!F:F,_dados_padronizados!$A:$A,"3.01.01.07.01.24*"),0)</f>
        <v/>
      </c>
      <c r="H33" s="16">
        <f>IFERROR(SUMIFS(_dados_padronizados!G:G,_dados_padronizados!$A:$A,"3.01.01.07.01.23*")+SUMIFS(_dados_padronizados!G:G,_dados_padronizados!$A:$A,"3.01.01.07.01.24*"),0)</f>
        <v/>
      </c>
      <c r="I33" s="16" t="n"/>
      <c r="J33" s="16">
        <f>H33+I33</f>
        <v/>
      </c>
    </row>
    <row r="34">
      <c r="B34" s="19" t="inlineStr">
        <is>
          <t>(=) EBIT</t>
        </is>
      </c>
      <c r="C34" s="20" t="n"/>
      <c r="D34" s="21">
        <f>D31+D33</f>
        <v/>
      </c>
      <c r="E34" s="21">
        <f>E31+E33</f>
        <v/>
      </c>
      <c r="F34" s="21">
        <f>F31+F33</f>
        <v/>
      </c>
      <c r="G34" s="21">
        <f>G31+G33</f>
        <v/>
      </c>
      <c r="H34" s="21">
        <f>H31+H33</f>
        <v/>
      </c>
      <c r="I34" s="21">
        <f>I31+I33</f>
        <v/>
      </c>
      <c r="J34" s="21">
        <f>H34+I34</f>
        <v/>
      </c>
    </row>
    <row r="35"/>
    <row r="36">
      <c r="B36" s="23" t="inlineStr">
        <is>
          <t>RESULTADO FINANCEIRO</t>
        </is>
      </c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B37" s="14" t="inlineStr">
        <is>
          <t>(+) Receitas financeiras</t>
        </is>
      </c>
      <c r="C37" s="15" t="inlineStr">
        <is>
          <t>3.01.01.05.01.01|3.01.01.05.01.04|3.01.01.05.01.05|3.01.01.05.01.31|3.01.01.05.01.32</t>
        </is>
      </c>
      <c r="D37" s="16">
        <f>IFERROR(SUMIFS(_dados_padronizados!C:C,_dados_padronizados!$A:$A,"3.01.01.05.01.01*")+SUMIFS(_dados_padronizados!C:C,_dados_padronizados!$A:$A,"3.01.01.05.01.04*")+SUMIFS(_dados_padronizados!C:C,_dados_padronizados!$A:$A,"3.01.01.05.01.05*")+SUMIFS(_dados_padronizados!C:C,_dados_padronizados!$A:$A,"3.01.01.05.01.31*")+SUMIFS(_dados_padronizados!C:C,_dados_padronizados!$A:$A,"3.01.01.05.01.32*"),0)</f>
        <v/>
      </c>
      <c r="E37" s="16">
        <f>IFERROR(SUMIFS(_dados_padronizados!D:D,_dados_padronizados!$A:$A,"3.01.01.05.01.01*")+SUMIFS(_dados_padronizados!D:D,_dados_padronizados!$A:$A,"3.01.01.05.01.04*")+SUMIFS(_dados_padronizados!D:D,_dados_padronizados!$A:$A,"3.01.01.05.01.05*")+SUMIFS(_dados_padronizados!D:D,_dados_padronizados!$A:$A,"3.01.01.05.01.31*")+SUMIFS(_dados_padronizados!D:D,_dados_padronizados!$A:$A,"3.01.01.05.01.32*"),0)</f>
        <v/>
      </c>
      <c r="F37" s="16">
        <f>IFERROR(SUMIFS(_dados_padronizados!E:E,_dados_padronizados!$A:$A,"3.01.01.05.01.01*")+SUMIFS(_dados_padronizados!E:E,_dados_padronizados!$A:$A,"3.01.01.05.01.04*")+SUMIFS(_dados_padronizados!E:E,_dados_padronizados!$A:$A,"3.01.01.05.01.05*")+SUMIFS(_dados_padronizados!E:E,_dados_padronizados!$A:$A,"3.01.01.05.01.31*")+SUMIFS(_dados_padronizados!E:E,_dados_padronizados!$A:$A,"3.01.01.05.01.32*"),0)</f>
        <v/>
      </c>
      <c r="G37" s="16">
        <f>IFERROR(SUMIFS(_dados_padronizados!F:F,_dados_padronizados!$A:$A,"3.01.01.05.01.01*")+SUMIFS(_dados_padronizados!F:F,_dados_padronizados!$A:$A,"3.01.01.05.01.04*")+SUMIFS(_dados_padronizados!F:F,_dados_padronizados!$A:$A,"3.01.01.05.01.05*")+SUMIFS(_dados_padronizados!F:F,_dados_padronizados!$A:$A,"3.01.01.05.01.31*")+SUMIFS(_dados_padronizados!F:F,_dados_padronizados!$A:$A,"3.01.01.05.01.32*"),0)</f>
        <v/>
      </c>
      <c r="H37" s="16">
        <f>IFERROR(SUMIFS(_dados_padronizados!G:G,_dados_padronizados!$A:$A,"3.01.01.05.01.01*")+SUMIFS(_dados_padronizados!G:G,_dados_padronizados!$A:$A,"3.01.01.05.01.04*")+SUMIFS(_dados_padronizados!G:G,_dados_padronizados!$A:$A,"3.01.01.05.01.05*")+SUMIFS(_dados_padronizados!G:G,_dados_padronizados!$A:$A,"3.01.01.05.01.31*")+SUMIFS(_dados_padronizados!G:G,_dados_padronizados!$A:$A,"3.01.01.05.01.32*"),0)</f>
        <v/>
      </c>
      <c r="I37" s="16" t="n"/>
      <c r="J37" s="16">
        <f>H37+I37</f>
        <v/>
      </c>
    </row>
    <row r="38">
      <c r="B38" s="14" t="inlineStr">
        <is>
          <t>(-) Despesas financeiras</t>
        </is>
      </c>
      <c r="C38" s="15" t="inlineStr">
        <is>
          <t>3.01.01.09.01.01|3.01.01.09.01.04|3.01.01.09.01.05|3.01.01.09.01.06|3.01.01.09.01.07|3.01.01.09.01.08|3.01.01.09.01.15</t>
        </is>
      </c>
      <c r="D38" s="16">
        <f>IFERROR(SUMIFS(_dados_padronizados!C:C,_dados_padronizados!$A:$A,"3.01.01.09.01.01*")+SUMIFS(_dados_padronizados!C:C,_dados_padronizados!$A:$A,"3.01.01.09.01.04*")+SUMIFS(_dados_padronizados!C:C,_dados_padronizados!$A:$A,"3.01.01.09.01.05*")+SUMIFS(_dados_padronizados!C:C,_dados_padronizados!$A:$A,"3.01.01.09.01.06*")+SUMIFS(_dados_padronizados!C:C,_dados_padronizados!$A:$A,"3.01.01.09.01.07*")+SUMIFS(_dados_padronizados!C:C,_dados_padronizados!$A:$A,"3.01.01.09.01.08*")+SUMIFS(_dados_padronizados!C:C,_dados_padronizados!$A:$A,"3.01.01.09.01.15*"),0)</f>
        <v/>
      </c>
      <c r="E38" s="16">
        <f>IFERROR(SUMIFS(_dados_padronizados!D:D,_dados_padronizados!$A:$A,"3.01.01.09.01.01*")+SUMIFS(_dados_padronizados!D:D,_dados_padronizados!$A:$A,"3.01.01.09.01.04*")+SUMIFS(_dados_padronizados!D:D,_dados_padronizados!$A:$A,"3.01.01.09.01.05*")+SUMIFS(_dados_padronizados!D:D,_dados_padronizados!$A:$A,"3.01.01.09.01.06*")+SUMIFS(_dados_padronizados!D:D,_dados_padronizados!$A:$A,"3.01.01.09.01.07*")+SUMIFS(_dados_padronizados!D:D,_dados_padronizados!$A:$A,"3.01.01.09.01.08*")+SUMIFS(_dados_padronizados!D:D,_dados_padronizados!$A:$A,"3.01.01.09.01.15*"),0)</f>
        <v/>
      </c>
      <c r="F38" s="16">
        <f>IFERROR(SUMIFS(_dados_padronizados!E:E,_dados_padronizados!$A:$A,"3.01.01.09.01.01*")+SUMIFS(_dados_padronizados!E:E,_dados_padronizados!$A:$A,"3.01.01.09.01.04*")+SUMIFS(_dados_padronizados!E:E,_dados_padronizados!$A:$A,"3.01.01.09.01.05*")+SUMIFS(_dados_padronizados!E:E,_dados_padronizados!$A:$A,"3.01.01.09.01.06*")+SUMIFS(_dados_padronizados!E:E,_dados_padronizados!$A:$A,"3.01.01.09.01.07*")+SUMIFS(_dados_padronizados!E:E,_dados_padronizados!$A:$A,"3.01.01.09.01.08*")+SUMIFS(_dados_padronizados!E:E,_dados_padronizados!$A:$A,"3.01.01.09.01.15*"),0)</f>
        <v/>
      </c>
      <c r="G38" s="16">
        <f>IFERROR(SUMIFS(_dados_padronizados!F:F,_dados_padronizados!$A:$A,"3.01.01.09.01.01*")+SUMIFS(_dados_padronizados!F:F,_dados_padronizados!$A:$A,"3.01.01.09.01.04*")+SUMIFS(_dados_padronizados!F:F,_dados_padronizados!$A:$A,"3.01.01.09.01.05*")+SUMIFS(_dados_padronizados!F:F,_dados_padronizados!$A:$A,"3.01.01.09.01.06*")+SUMIFS(_dados_padronizados!F:F,_dados_padronizados!$A:$A,"3.01.01.09.01.07*")+SUMIFS(_dados_padronizados!F:F,_dados_padronizados!$A:$A,"3.01.01.09.01.08*")+SUMIFS(_dados_padronizados!F:F,_dados_padronizados!$A:$A,"3.01.01.09.01.15*"),0)</f>
        <v/>
      </c>
      <c r="H38" s="16">
        <f>IFERROR(SUMIFS(_dados_padronizados!G:G,_dados_padronizados!$A:$A,"3.01.01.09.01.01*")+SUMIFS(_dados_padronizados!G:G,_dados_padronizados!$A:$A,"3.01.01.09.01.04*")+SUMIFS(_dados_padronizados!G:G,_dados_padronizados!$A:$A,"3.01.01.09.01.05*")+SUMIFS(_dados_padronizados!G:G,_dados_padronizados!$A:$A,"3.01.01.09.01.06*")+SUMIFS(_dados_padronizados!G:G,_dados_padronizados!$A:$A,"3.01.01.09.01.07*")+SUMIFS(_dados_padronizados!G:G,_dados_padronizados!$A:$A,"3.01.01.09.01.08*")+SUMIFS(_dados_padronizados!G:G,_dados_padronizados!$A:$A,"3.01.01.09.01.15*"),0)</f>
        <v/>
      </c>
      <c r="I38" s="16" t="n"/>
      <c r="J38" s="16">
        <f>H38+I38</f>
        <v/>
      </c>
    </row>
    <row r="39">
      <c r="B39" s="12" t="inlineStr">
        <is>
          <t>(=) Resultado financeiro líquido</t>
        </is>
      </c>
      <c r="C39" s="13" t="n"/>
      <c r="D39" s="18">
        <f>SUM(D37:D38)</f>
        <v/>
      </c>
      <c r="E39" s="18">
        <f>SUM(E37:E38)</f>
        <v/>
      </c>
      <c r="F39" s="18">
        <f>SUM(F37:F38)</f>
        <v/>
      </c>
      <c r="G39" s="18">
        <f>SUM(G37:G38)</f>
        <v/>
      </c>
      <c r="H39" s="18">
        <f>SUM(H37:H38)</f>
        <v/>
      </c>
      <c r="I39" s="18">
        <f>SUM(I37:I38)</f>
        <v/>
      </c>
      <c r="J39" s="18">
        <f>H39+I39</f>
        <v/>
      </c>
    </row>
    <row r="40"/>
    <row r="41">
      <c r="B41" s="14" t="inlineStr">
        <is>
          <t>(+/-) Resultado de equivalência patrimonial</t>
        </is>
      </c>
      <c r="C41" s="15" t="inlineStr">
        <is>
          <t>3.01.01.05.01.06|3.01.01.05.01.07|3.01.01.09.01.09|3.01.01.09.01.10</t>
        </is>
      </c>
      <c r="D41" s="16">
        <f>IFERROR(SUMIFS(_dados_padronizados!C:C,_dados_padronizados!$A:$A,"3.01.01.05.01.06*")+SUMIFS(_dados_padronizados!C:C,_dados_padronizados!$A:$A,"3.01.01.05.01.07*")+SUMIFS(_dados_padronizados!C:C,_dados_padronizados!$A:$A,"3.01.01.09.01.09*")+SUMIFS(_dados_padronizados!C:C,_dados_padronizados!$A:$A,"3.01.01.09.01.10*"),0)</f>
        <v/>
      </c>
      <c r="E41" s="16">
        <f>IFERROR(SUMIFS(_dados_padronizados!D:D,_dados_padronizados!$A:$A,"3.01.01.05.01.06*")+SUMIFS(_dados_padronizados!D:D,_dados_padronizados!$A:$A,"3.01.01.05.01.07*")+SUMIFS(_dados_padronizados!D:D,_dados_padronizados!$A:$A,"3.01.01.09.01.09*")+SUMIFS(_dados_padronizados!D:D,_dados_padronizados!$A:$A,"3.01.01.09.01.10*"),0)</f>
        <v/>
      </c>
      <c r="F41" s="16">
        <f>IFERROR(SUMIFS(_dados_padronizados!E:E,_dados_padronizados!$A:$A,"3.01.01.05.01.06*")+SUMIFS(_dados_padronizados!E:E,_dados_padronizados!$A:$A,"3.01.01.05.01.07*")+SUMIFS(_dados_padronizados!E:E,_dados_padronizados!$A:$A,"3.01.01.09.01.09*")+SUMIFS(_dados_padronizados!E:E,_dados_padronizados!$A:$A,"3.01.01.09.01.10*"),0)</f>
        <v/>
      </c>
      <c r="G41" s="16">
        <f>IFERROR(SUMIFS(_dados_padronizados!F:F,_dados_padronizados!$A:$A,"3.01.01.05.01.06*")+SUMIFS(_dados_padronizados!F:F,_dados_padronizados!$A:$A,"3.01.01.05.01.07*")+SUMIFS(_dados_padronizados!F:F,_dados_padronizados!$A:$A,"3.01.01.09.01.09*")+SUMIFS(_dados_padronizados!F:F,_dados_padronizados!$A:$A,"3.01.01.09.01.10*"),0)</f>
        <v/>
      </c>
      <c r="H41" s="16">
        <f>IFERROR(SUMIFS(_dados_padronizados!G:G,_dados_padronizados!$A:$A,"3.01.01.05.01.06*")+SUMIFS(_dados_padronizados!G:G,_dados_padronizados!$A:$A,"3.01.01.05.01.07*")+SUMIFS(_dados_padronizados!G:G,_dados_padronizados!$A:$A,"3.01.01.09.01.09*")+SUMIFS(_dados_padronizados!G:G,_dados_padronizados!$A:$A,"3.01.01.09.01.10*"),0)</f>
        <v/>
      </c>
      <c r="I41" s="16" t="n"/>
      <c r="J41" s="16">
        <f>H41+I41</f>
        <v/>
      </c>
    </row>
    <row r="42"/>
    <row r="43">
      <c r="B43" s="19" t="inlineStr">
        <is>
          <t>(=) RESULTADO ANTES DO IRPJ/CSLL</t>
        </is>
      </c>
      <c r="C43" s="20" t="n"/>
      <c r="D43" s="21">
        <f>D34+D39+D41</f>
        <v/>
      </c>
      <c r="E43" s="21">
        <f>E34+E39+E41</f>
        <v/>
      </c>
      <c r="F43" s="21">
        <f>F34+F39+F41</f>
        <v/>
      </c>
      <c r="G43" s="21">
        <f>G34+G39+G41</f>
        <v/>
      </c>
      <c r="H43" s="21">
        <f>H34+H39+H41</f>
        <v/>
      </c>
      <c r="I43" s="21">
        <f>I34+I39+I41</f>
        <v/>
      </c>
      <c r="J43" s="21">
        <f>H43+I43</f>
        <v/>
      </c>
    </row>
    <row r="44"/>
    <row r="45">
      <c r="B45" s="14" t="inlineStr">
        <is>
          <t>(-) IRPJ e CSLL correntes</t>
        </is>
      </c>
      <c r="C45" s="15" t="inlineStr">
        <is>
          <t>3.02.01.01</t>
        </is>
      </c>
      <c r="D45" s="16">
        <f>IFERROR(SUMIFS(_dados_padronizados!C:C,_dados_padronizados!$A:$A,$C45&amp;"*"),0)</f>
        <v/>
      </c>
      <c r="E45" s="16">
        <f>IFERROR(SUMIFS(_dados_padronizados!D:D,_dados_padronizados!$A:$A,$C45&amp;"*"),0)</f>
        <v/>
      </c>
      <c r="F45" s="16">
        <f>IFERROR(SUMIFS(_dados_padronizados!E:E,_dados_padronizados!$A:$A,$C45&amp;"*"),0)</f>
        <v/>
      </c>
      <c r="G45" s="16">
        <f>IFERROR(SUMIFS(_dados_padronizados!F:F,_dados_padronizados!$A:$A,$C45&amp;"*"),0)</f>
        <v/>
      </c>
      <c r="H45" s="16">
        <f>IFERROR(SUMIFS(_dados_padronizados!G:G,_dados_padronizados!$A:$A,$C45&amp;"*"),0)</f>
        <v/>
      </c>
      <c r="I45" s="16" t="n"/>
      <c r="J45" s="16">
        <f>H45+I45</f>
        <v/>
      </c>
    </row>
    <row r="46">
      <c r="B46" s="14" t="inlineStr">
        <is>
          <t>(-) IRPJ e CSLL diferidos</t>
        </is>
      </c>
      <c r="C46" s="15" t="inlineStr">
        <is>
          <t>3.02.01.02</t>
        </is>
      </c>
      <c r="D46" s="16">
        <f>IFERROR(SUMIFS(_dados_padronizados!C:C,_dados_padronizados!$A:$A,$C46&amp;"*"),0)</f>
        <v/>
      </c>
      <c r="E46" s="16">
        <f>IFERROR(SUMIFS(_dados_padronizados!D:D,_dados_padronizados!$A:$A,$C46&amp;"*"),0)</f>
        <v/>
      </c>
      <c r="F46" s="16">
        <f>IFERROR(SUMIFS(_dados_padronizados!E:E,_dados_padronizados!$A:$A,$C46&amp;"*"),0)</f>
        <v/>
      </c>
      <c r="G46" s="16">
        <f>IFERROR(SUMIFS(_dados_padronizados!F:F,_dados_padronizados!$A:$A,$C46&amp;"*"),0)</f>
        <v/>
      </c>
      <c r="H46" s="16">
        <f>IFERROR(SUMIFS(_dados_padronizados!G:G,_dados_padronizados!$A:$A,$C46&amp;"*"),0)</f>
        <v/>
      </c>
      <c r="I46" s="16" t="n"/>
      <c r="J46" s="16">
        <f>H46+I46</f>
        <v/>
      </c>
    </row>
    <row r="47"/>
    <row r="48">
      <c r="B48" s="19" t="inlineStr">
        <is>
          <t>(=) LUCRO LÍQUIDO DO EXERCÍCIO</t>
        </is>
      </c>
      <c r="C48" s="20" t="n"/>
      <c r="D48" s="21">
        <f>D43+D45+D46</f>
        <v/>
      </c>
      <c r="E48" s="21">
        <f>E43+E45+E46</f>
        <v/>
      </c>
      <c r="F48" s="21">
        <f>F43+F45+F46</f>
        <v/>
      </c>
      <c r="G48" s="21">
        <f>G43+G45+G46</f>
        <v/>
      </c>
      <c r="H48" s="21">
        <f>H43+H45+H46</f>
        <v/>
      </c>
      <c r="I48" s="21">
        <f>I43+I45+I46</f>
        <v/>
      </c>
      <c r="J48" s="21">
        <f>H48+I48</f>
        <v/>
      </c>
    </row>
    <row r="49"/>
    <row r="50">
      <c r="B50" s="8" t="inlineStr">
        <is>
          <t>Check (Lucro líquido conforme cliente)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0" t="inlineStr">
        <is>
          <t>codigo_padronizado</t>
        </is>
      </c>
      <c r="B1" s="10" t="inlineStr">
        <is>
          <t>descricao_original</t>
        </is>
      </c>
      <c r="C1" s="10" t="inlineStr">
        <is>
          <t>2021</t>
        </is>
      </c>
      <c r="D1" s="10" t="inlineStr">
        <is>
          <t>2022</t>
        </is>
      </c>
      <c r="E1" s="10" t="inlineStr">
        <is>
          <t>2023</t>
        </is>
      </c>
      <c r="F1" s="10" t="inlineStr">
        <is>
          <t>2024</t>
        </is>
      </c>
      <c r="G1" s="10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2026-08-30T01:59:46Z</dcterms:created>
  <dcterms:modified xsi:type="dcterms:W3CDTF">2026-08-30T09:37:41Z</dcterms:modified>
</cp:coreProperties>
</file>